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64011"/>
  <bookViews>
    <workbookView xWindow="0" yWindow="0" windowWidth="22260" windowHeight="12645" firstSheet="6" activeTab="9"/>
  </bookViews>
  <sheets>
    <sheet name="未转yuv的HEVC结果" sheetId="13" state="hidden" r:id="rId1"/>
    <sheet name="未转yuv的PEG-HEVC-ME-COMPARE" sheetId="14" state="hidden" r:id="rId2"/>
    <sheet name="ALL 弃用" sheetId="1" state="hidden" r:id="rId3"/>
    <sheet name="降采样-压缩率变化 弃用" sheetId="3" state="hidden" r:id="rId4"/>
    <sheet name="降采样-倍率PSNR曲线关系 弃用" sheetId="4" state="hidden" r:id="rId5"/>
    <sheet name="ALL" sheetId="5" state="hidden" r:id="rId6"/>
    <sheet name="JPEG结果" sheetId="11" r:id="rId7"/>
    <sheet name="HEVC结果" sheetId="10" r:id="rId8"/>
    <sheet name="嵌入解码器的行残差" sheetId="9" state="hidden" r:id="rId9"/>
    <sheet name="JPEG-HEVC同表" sheetId="17" r:id="rId10"/>
    <sheet name="传统倍率-psnr" sheetId="6" state="hidden" r:id="rId11"/>
    <sheet name="smooth测试" sheetId="7" state="hidden" r:id="rId12"/>
  </sheets>
  <definedNames>
    <definedName name="_xlnm._FilterDatabase" localSheetId="2" hidden="1">'ALL 弃用'!$A$1:$K$331</definedName>
    <definedName name="_xlnm._FilterDatabase" localSheetId="9" hidden="1">'JPEG-HEVC同表'!$A$1:$J$673</definedName>
    <definedName name="_xlnm._FilterDatabase" localSheetId="3" hidden="1">'降采样-压缩率变化 弃用'!$A$1:$K$331</definedName>
    <definedName name="ExternalData_1" localSheetId="5">ALL!$A$1:$H$12</definedName>
    <definedName name="ExternalData_1" localSheetId="2">'ALL 弃用'!$A$1:$H$12</definedName>
    <definedName name="ExternalData_1" localSheetId="7">HEVC结果!$A$1:$H$17</definedName>
    <definedName name="ExternalData_1" localSheetId="9">'JPEG-HEVC同表'!$A$1:$H$17</definedName>
    <definedName name="ExternalData_1" localSheetId="6">JPEG结果!$A$1:$H$17</definedName>
    <definedName name="ExternalData_1" localSheetId="11">smooth测试!#REF!</definedName>
    <definedName name="ExternalData_1" localSheetId="0">未转yuv的HEVC结果!$A$1:$H$17</definedName>
    <definedName name="ExternalData_10" localSheetId="2">'ALL 弃用'!$A$101:$H$111</definedName>
    <definedName name="ExternalData_10" localSheetId="7">HEVC结果!$A$146:$H$161</definedName>
    <definedName name="ExternalData_10" localSheetId="9">'JPEG-HEVC同表'!$A$114:$H$129</definedName>
    <definedName name="ExternalData_10" localSheetId="6">JPEG结果!$A$114:$H$129</definedName>
    <definedName name="ExternalData_11" localSheetId="2">'ALL 弃用'!$A$123:$H$133</definedName>
    <definedName name="ExternalData_11" localSheetId="7">HEVC结果!$A$162:$H$177</definedName>
    <definedName name="ExternalData_11" localSheetId="9">'JPEG-HEVC同表'!$A$130:$H$145</definedName>
    <definedName name="ExternalData_11" localSheetId="6">JPEG结果!$A$130:$H$145</definedName>
    <definedName name="ExternalData_12" localSheetId="2">'ALL 弃用'!$A$134:$H$144</definedName>
    <definedName name="ExternalData_12" localSheetId="7">HEVC结果!$A$178:$H$193</definedName>
    <definedName name="ExternalData_12" localSheetId="9">'JPEG-HEVC同表'!$A$514:$H$529</definedName>
    <definedName name="ExternalData_12" localSheetId="6">JPEG结果!#REF!</definedName>
    <definedName name="ExternalData_13" localSheetId="2">'ALL 弃用'!$A$145:$H$155</definedName>
    <definedName name="ExternalData_13" localSheetId="7">HEVC结果!$A$194:$H$209</definedName>
    <definedName name="ExternalData_13" localSheetId="9">'JPEG-HEVC同表'!$A$146:$H$161</definedName>
    <definedName name="ExternalData_13" localSheetId="6">JPEG结果!$A$146:$H$161</definedName>
    <definedName name="ExternalData_14" localSheetId="2">'ALL 弃用'!$A$156:$H$166</definedName>
    <definedName name="ExternalData_14" localSheetId="7">HEVC结果!$A$210:$H$225</definedName>
    <definedName name="ExternalData_14" localSheetId="9">'JPEG-HEVC同表'!$A$162:$H$177</definedName>
    <definedName name="ExternalData_14" localSheetId="6">JPEG结果!$A$162:$H$177</definedName>
    <definedName name="ExternalData_15" localSheetId="2">'ALL 弃用'!$A$167:$H$177</definedName>
    <definedName name="ExternalData_15" localSheetId="7">HEVC结果!$A$226:$H$241</definedName>
    <definedName name="ExternalData_15" localSheetId="9">'JPEG-HEVC同表'!$A$178:$H$193</definedName>
    <definedName name="ExternalData_15" localSheetId="6">JPEG结果!$A$178:$H$193</definedName>
    <definedName name="ExternalData_16" localSheetId="2">'ALL 弃用'!$A$178:$H$188</definedName>
    <definedName name="ExternalData_16" localSheetId="7">HEVC结果!$A$242:$H$257</definedName>
    <definedName name="ExternalData_16" localSheetId="9">'JPEG-HEVC同表'!$A$194:$H$209</definedName>
    <definedName name="ExternalData_16" localSheetId="6">JPEG结果!$A$194:$H$209</definedName>
    <definedName name="ExternalData_17" localSheetId="2">'ALL 弃用'!$A$189:$H$199</definedName>
    <definedName name="ExternalData_17" localSheetId="7">HEVC结果!$A$258:$H$273</definedName>
    <definedName name="ExternalData_17" localSheetId="9">'JPEG-HEVC同表'!$A$210:$H$225</definedName>
    <definedName name="ExternalData_17" localSheetId="6">JPEG结果!$A$210:$H$225</definedName>
    <definedName name="ExternalData_18" localSheetId="2">'ALL 弃用'!$A$200:$H$210</definedName>
    <definedName name="ExternalData_18" localSheetId="7">HEVC结果!$A$274:$H$289</definedName>
    <definedName name="ExternalData_18" localSheetId="9">'JPEG-HEVC同表'!$A$226:$H$241</definedName>
    <definedName name="ExternalData_18" localSheetId="6">JPEG结果!$A$226:$H$241</definedName>
    <definedName name="ExternalData_19" localSheetId="2">'ALL 弃用'!$A$211:$H$221</definedName>
    <definedName name="ExternalData_19" localSheetId="7">HEVC结果!$A$290:$H$305</definedName>
    <definedName name="ExternalData_19" localSheetId="9">'JPEG-HEVC同表'!$A$242:$H$257</definedName>
    <definedName name="ExternalData_19" localSheetId="6">JPEG结果!$A$242:$H$257</definedName>
    <definedName name="ExternalData_2" localSheetId="5">ALL!$A$13:$H$23</definedName>
    <definedName name="ExternalData_2" localSheetId="2">'ALL 弃用'!$A$13:$H$23</definedName>
    <definedName name="ExternalData_2" localSheetId="7">HEVC结果!$A$18:$H$33</definedName>
    <definedName name="ExternalData_2" localSheetId="9">'JPEG-HEVC同表'!$A$354:$H$369</definedName>
    <definedName name="ExternalData_2" localSheetId="6">JPEG结果!#REF!</definedName>
    <definedName name="ExternalData_2" localSheetId="11">smooth测试!#REF!</definedName>
    <definedName name="ExternalData_2" localSheetId="0">未转yuv的HEVC结果!$A$18:$H$33</definedName>
    <definedName name="ExternalData_20" localSheetId="2">'ALL 弃用'!$A$233:$H$243</definedName>
    <definedName name="ExternalData_20" localSheetId="7">HEVC结果!$A$306:$H$321</definedName>
    <definedName name="ExternalData_20" localSheetId="9">'JPEG-HEVC同表'!$A$258:$H$273</definedName>
    <definedName name="ExternalData_20" localSheetId="6">JPEG结果!$A$258:$H$273</definedName>
    <definedName name="ExternalData_21" localSheetId="2">'ALL 弃用'!$A$244:$H$254</definedName>
    <definedName name="ExternalData_21" localSheetId="7">HEVC结果!$A$322:$H$337</definedName>
    <definedName name="ExternalData_21" localSheetId="9">'JPEG-HEVC同表'!$A$274:$H$289</definedName>
    <definedName name="ExternalData_21" localSheetId="6">JPEG结果!$A$274:$H$289</definedName>
    <definedName name="ExternalData_22" localSheetId="2">'ALL 弃用'!$A$255:$H$265</definedName>
    <definedName name="ExternalData_22" localSheetId="9">'JPEG-HEVC同表'!$A$290:$H$305</definedName>
    <definedName name="ExternalData_22" localSheetId="6">JPEG结果!$A$290:$H$305</definedName>
    <definedName name="ExternalData_23" localSheetId="2">'ALL 弃用'!$A$266:$H$276</definedName>
    <definedName name="ExternalData_23" localSheetId="9">'JPEG-HEVC同表'!$A$306:$H$321</definedName>
    <definedName name="ExternalData_23" localSheetId="6">JPEG结果!$A$306:$H$321</definedName>
    <definedName name="ExternalData_24" localSheetId="2">'ALL 弃用'!$A$277:$H$287</definedName>
    <definedName name="ExternalData_24" localSheetId="9">'JPEG-HEVC同表'!$A$322:$H$337</definedName>
    <definedName name="ExternalData_24" localSheetId="6">JPEG结果!$A$322:$H$337</definedName>
    <definedName name="ExternalData_25" localSheetId="2">'ALL 弃用'!$A$288:$H$298</definedName>
    <definedName name="ExternalData_25" localSheetId="9">'JPEG-HEVC同表'!$A$482:$H$497</definedName>
    <definedName name="ExternalData_26" localSheetId="2">'ALL 弃用'!$A$299:$H$309</definedName>
    <definedName name="ExternalData_26" localSheetId="9">'JPEG-HEVC同表'!$A$562:$H$577</definedName>
    <definedName name="ExternalData_27" localSheetId="2">'ALL 弃用'!$A$310:$H$320</definedName>
    <definedName name="ExternalData_27" localSheetId="9">'JPEG-HEVC同表'!$A$642:$H$657</definedName>
    <definedName name="ExternalData_28" localSheetId="2">'ALL 弃用'!$A$321:$H$331</definedName>
    <definedName name="ExternalData_28" localSheetId="9">'JPEG-HEVC同表'!$A$402:$H$417</definedName>
    <definedName name="ExternalData_28" localSheetId="3">'降采样-压缩率变化 弃用'!$A$321:$H$331</definedName>
    <definedName name="ExternalData_29" localSheetId="9">'JPEG-HEVC同表'!$A$546:$H$561</definedName>
    <definedName name="ExternalData_29" localSheetId="3">'降采样-压缩率变化 弃用'!$A$310:$H$320</definedName>
    <definedName name="ExternalData_3" localSheetId="5">ALL!$A$24:$H$34</definedName>
    <definedName name="ExternalData_3" localSheetId="2">'ALL 弃用'!$A$24:$H$34</definedName>
    <definedName name="ExternalData_3" localSheetId="7">HEVC结果!$A$34:$H$49</definedName>
    <definedName name="ExternalData_3" localSheetId="9">'JPEG-HEVC同表'!$A$18:$H$33</definedName>
    <definedName name="ExternalData_3" localSheetId="6">JPEG结果!$A$18:$H$33</definedName>
    <definedName name="ExternalData_3" localSheetId="11">smooth测试!#REF!</definedName>
    <definedName name="ExternalData_3" localSheetId="0">未转yuv的HEVC结果!$A$34:$H$49</definedName>
    <definedName name="ExternalData_30" localSheetId="9">'JPEG-HEVC同表'!$A$466:$H$481</definedName>
    <definedName name="ExternalData_30" localSheetId="3">'降采样-压缩率变化 弃用'!$A$299:$H$309</definedName>
    <definedName name="ExternalData_31" localSheetId="9">'JPEG-HEVC同表'!$A$626:$H$641</definedName>
    <definedName name="ExternalData_31" localSheetId="3">'降采样-压缩率变化 弃用'!$A$288:$H$298</definedName>
    <definedName name="ExternalData_32" localSheetId="9">'JPEG-HEVC同表'!$A$530:$H$545</definedName>
    <definedName name="ExternalData_32" localSheetId="3">'降采样-压缩率变化 弃用'!$A$277:$H$287</definedName>
    <definedName name="ExternalData_33" localSheetId="9">'JPEG-HEVC同表'!$A$610:$H$625</definedName>
    <definedName name="ExternalData_33" localSheetId="3">'降采样-压缩率变化 弃用'!$A$266:$H$276</definedName>
    <definedName name="ExternalData_34" localSheetId="9">'JPEG-HEVC同表'!$A$386:$H$401</definedName>
    <definedName name="ExternalData_34" localSheetId="3">'降采样-压缩率变化 弃用'!$A$255:$H$265</definedName>
    <definedName name="ExternalData_35" localSheetId="9">'JPEG-HEVC同表'!$A$450:$H$465</definedName>
    <definedName name="ExternalData_35" localSheetId="3">'降采样-压缩率变化 弃用'!$A$244:$H$254</definedName>
    <definedName name="ExternalData_36" localSheetId="9">'JPEG-HEVC同表'!$A$434:$H$449</definedName>
    <definedName name="ExternalData_36" localSheetId="3">'降采样-压缩率变化 弃用'!$A$233:$H$243</definedName>
    <definedName name="ExternalData_37" localSheetId="9">'JPEG-HEVC同表'!$A$594:$H$609</definedName>
    <definedName name="ExternalData_37" localSheetId="3">'降采样-压缩率变化 弃用'!$A$211:$H$221</definedName>
    <definedName name="ExternalData_38" localSheetId="9">'JPEG-HEVC同表'!$A$370:$H$385</definedName>
    <definedName name="ExternalData_38" localSheetId="3">'降采样-压缩率变化 弃用'!$A$200:$H$210</definedName>
    <definedName name="ExternalData_39" localSheetId="9">'JPEG-HEVC同表'!$A$658:$H$673</definedName>
    <definedName name="ExternalData_39" localSheetId="3">'降采样-压缩率变化 弃用'!$A$189:$H$199</definedName>
    <definedName name="ExternalData_4" localSheetId="5">ALL!$A$57:$H$67</definedName>
    <definedName name="ExternalData_4" localSheetId="2">'ALL 弃用'!$A$35:$H$45</definedName>
    <definedName name="ExternalData_4" localSheetId="7">HEVC结果!$A$50:$H$65</definedName>
    <definedName name="ExternalData_4" localSheetId="9">'JPEG-HEVC同表'!$A$34:$H$49</definedName>
    <definedName name="ExternalData_4" localSheetId="6">JPEG结果!$A$34:$H$49</definedName>
    <definedName name="ExternalData_4" localSheetId="0">未转yuv的HEVC结果!$A$50:$H$65</definedName>
    <definedName name="ExternalData_40" localSheetId="9">'JPEG-HEVC同表'!$A$498:$H$513</definedName>
    <definedName name="ExternalData_40" localSheetId="3">'降采样-压缩率变化 弃用'!$A$178:$H$188</definedName>
    <definedName name="ExternalData_41" localSheetId="9">'JPEG-HEVC同表'!$A$578:$H$593</definedName>
    <definedName name="ExternalData_41" localSheetId="3">'降采样-压缩率变化 弃用'!$A$167:$H$177</definedName>
    <definedName name="ExternalData_42" localSheetId="3">'降采样-压缩率变化 弃用'!$A$156:$H$166</definedName>
    <definedName name="ExternalData_43" localSheetId="3">'降采样-压缩率变化 弃用'!$A$145:$H$155</definedName>
    <definedName name="ExternalData_44" localSheetId="3">'降采样-压缩率变化 弃用'!$A$134:$H$144</definedName>
    <definedName name="ExternalData_45" localSheetId="3">'降采样-压缩率变化 弃用'!$A$123:$H$133</definedName>
    <definedName name="ExternalData_46" localSheetId="3">'降采样-压缩率变化 弃用'!$A$101:$H$111</definedName>
    <definedName name="ExternalData_47" localSheetId="3">'降采样-压缩率变化 弃用'!$A$90:$H$100</definedName>
    <definedName name="ExternalData_48" localSheetId="3">'降采样-压缩率变化 弃用'!$A$79:$H$89</definedName>
    <definedName name="ExternalData_49" localSheetId="3">'降采样-压缩率变化 弃用'!$A$68:$H$78</definedName>
    <definedName name="ExternalData_5" localSheetId="5">ALL!$A$46:$H$56</definedName>
    <definedName name="ExternalData_5" localSheetId="2">'ALL 弃用'!$A$46:$H$56</definedName>
    <definedName name="ExternalData_5" localSheetId="7">HEVC结果!$A$66:$H$81</definedName>
    <definedName name="ExternalData_5" localSheetId="9">'JPEG-HEVC同表'!$A$50:$H$65</definedName>
    <definedName name="ExternalData_5" localSheetId="6">JPEG结果!$A$50:$H$65</definedName>
    <definedName name="ExternalData_5" localSheetId="0">未转yuv的HEVC结果!$A$66:$H$81</definedName>
    <definedName name="ExternalData_50" localSheetId="3">'降采样-压缩率变化 弃用'!$A$57:$H$67</definedName>
    <definedName name="ExternalData_51" localSheetId="3">'降采样-压缩率变化 弃用'!$A$46:$H$56</definedName>
    <definedName name="ExternalData_52" localSheetId="3">'降采样-压缩率变化 弃用'!$A$35:$H$45</definedName>
    <definedName name="ExternalData_53" localSheetId="3">'降采样-压缩率变化 弃用'!$A$24:$H$34</definedName>
    <definedName name="ExternalData_54" localSheetId="3">'降采样-压缩率变化 弃用'!$A$13:$H$23</definedName>
    <definedName name="ExternalData_55" localSheetId="3">'降采样-压缩率变化 弃用'!$A$1:$H$12</definedName>
    <definedName name="ExternalData_6" localSheetId="5">ALL!$A$82:$H$88</definedName>
    <definedName name="ExternalData_6" localSheetId="2">'ALL 弃用'!$A$57:$H$67</definedName>
    <definedName name="ExternalData_6" localSheetId="7">HEVC结果!$A$82:$H$97</definedName>
    <definedName name="ExternalData_6" localSheetId="9">'JPEG-HEVC同表'!$A$418:$H$433</definedName>
    <definedName name="ExternalData_6" localSheetId="6">JPEG结果!#REF!</definedName>
    <definedName name="ExternalData_6" localSheetId="0">未转yuv的HEVC结果!$A$82:$H$97</definedName>
    <definedName name="ExternalData_7" localSheetId="5">ALL!$A$75:$H$81</definedName>
    <definedName name="ExternalData_7" localSheetId="2">'ALL 弃用'!$A$68:$H$78</definedName>
    <definedName name="ExternalData_7" localSheetId="7">HEVC结果!$A$98:$H$113</definedName>
    <definedName name="ExternalData_7" localSheetId="9">'JPEG-HEVC同表'!$A$66:$H$81</definedName>
    <definedName name="ExternalData_7" localSheetId="6">JPEG结果!$A$66:$H$81</definedName>
    <definedName name="ExternalData_8" localSheetId="2">'ALL 弃用'!$A$79:$H$89</definedName>
    <definedName name="ExternalData_8" localSheetId="7">HEVC结果!$A$114:$H$129</definedName>
    <definedName name="ExternalData_8" localSheetId="9">'JPEG-HEVC同表'!$A$82:$H$97</definedName>
    <definedName name="ExternalData_8" localSheetId="6">JPEG结果!$A$82:$H$97</definedName>
    <definedName name="ExternalData_9" localSheetId="2">'ALL 弃用'!$A$90:$H$100</definedName>
    <definedName name="ExternalData_9" localSheetId="7">HEVC结果!$A$130:$H$145</definedName>
    <definedName name="ExternalData_9" localSheetId="9">'JPEG-HEVC同表'!$A$98:$H$113</definedName>
    <definedName name="ExternalData_9" localSheetId="6">JPEG结果!$A$98:$H$113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73" i="17" l="1"/>
  <c r="I672" i="17"/>
  <c r="I671" i="17"/>
  <c r="I670" i="17"/>
  <c r="I669" i="17"/>
  <c r="I668" i="17"/>
  <c r="I667" i="17"/>
  <c r="I666" i="17"/>
  <c r="I665" i="17"/>
  <c r="I664" i="17"/>
  <c r="I663" i="17"/>
  <c r="I662" i="17"/>
  <c r="I661" i="17"/>
  <c r="I660" i="17"/>
  <c r="I659" i="17"/>
  <c r="I658" i="17"/>
  <c r="I657" i="17"/>
  <c r="I656" i="17"/>
  <c r="I655" i="17"/>
  <c r="I654" i="17"/>
  <c r="I653" i="17"/>
  <c r="I652" i="17"/>
  <c r="I651" i="17"/>
  <c r="I650" i="17"/>
  <c r="I649" i="17"/>
  <c r="I648" i="17"/>
  <c r="I647" i="17"/>
  <c r="I646" i="17"/>
  <c r="I645" i="17"/>
  <c r="I644" i="17"/>
  <c r="I643" i="17"/>
  <c r="I642" i="17"/>
  <c r="I641" i="17"/>
  <c r="I640" i="17"/>
  <c r="I639" i="17"/>
  <c r="I638" i="17"/>
  <c r="I637" i="17"/>
  <c r="I636" i="17"/>
  <c r="I635" i="17"/>
  <c r="I634" i="17"/>
  <c r="I633" i="17"/>
  <c r="I632" i="17"/>
  <c r="I631" i="17"/>
  <c r="I630" i="17"/>
  <c r="I629" i="17"/>
  <c r="I628" i="17"/>
  <c r="I627" i="17"/>
  <c r="I626" i="17"/>
  <c r="I625" i="17"/>
  <c r="I624" i="17"/>
  <c r="I623" i="17"/>
  <c r="I622" i="17"/>
  <c r="I621" i="17"/>
  <c r="I620" i="17"/>
  <c r="I619" i="17"/>
  <c r="I618" i="17"/>
  <c r="I617" i="17"/>
  <c r="I616" i="17"/>
  <c r="I615" i="17"/>
  <c r="I614" i="17"/>
  <c r="I613" i="17"/>
  <c r="I612" i="17"/>
  <c r="I611" i="17"/>
  <c r="I610" i="17"/>
  <c r="I609" i="17"/>
  <c r="I608" i="17"/>
  <c r="I607" i="17"/>
  <c r="I606" i="17"/>
  <c r="I605" i="17"/>
  <c r="I604" i="17"/>
  <c r="I603" i="17"/>
  <c r="I602" i="17"/>
  <c r="I601" i="17"/>
  <c r="I600" i="17"/>
  <c r="I599" i="17"/>
  <c r="I598" i="17"/>
  <c r="I597" i="17"/>
  <c r="I596" i="17"/>
  <c r="I595" i="17"/>
  <c r="I594" i="17"/>
  <c r="I593" i="17"/>
  <c r="I592" i="17"/>
  <c r="I591" i="17"/>
  <c r="I590" i="17"/>
  <c r="I589" i="17"/>
  <c r="I588" i="17"/>
  <c r="I587" i="17"/>
  <c r="I586" i="17"/>
  <c r="I585" i="17"/>
  <c r="I584" i="17"/>
  <c r="I583" i="17"/>
  <c r="I582" i="17"/>
  <c r="I581" i="17"/>
  <c r="I580" i="17"/>
  <c r="I579" i="17"/>
  <c r="I578" i="17"/>
  <c r="I577" i="17"/>
  <c r="I576" i="17"/>
  <c r="I575" i="17"/>
  <c r="I574" i="17"/>
  <c r="I573" i="17"/>
  <c r="I572" i="17"/>
  <c r="I571" i="17"/>
  <c r="I570" i="17"/>
  <c r="I569" i="17"/>
  <c r="I568" i="17"/>
  <c r="I567" i="17"/>
  <c r="I566" i="17"/>
  <c r="I565" i="17"/>
  <c r="I564" i="17"/>
  <c r="I563" i="17"/>
  <c r="I562" i="17"/>
  <c r="I561" i="17"/>
  <c r="I560" i="17"/>
  <c r="I559" i="17"/>
  <c r="I558" i="17"/>
  <c r="I557" i="17"/>
  <c r="I556" i="17"/>
  <c r="I555" i="17"/>
  <c r="I554" i="17"/>
  <c r="I553" i="17"/>
  <c r="I552" i="17"/>
  <c r="I551" i="17"/>
  <c r="I550" i="17"/>
  <c r="I549" i="17"/>
  <c r="I548" i="17"/>
  <c r="I547" i="17"/>
  <c r="I546" i="17"/>
  <c r="I545" i="17"/>
  <c r="I544" i="17"/>
  <c r="I543" i="17"/>
  <c r="I542" i="17"/>
  <c r="I541" i="17"/>
  <c r="I540" i="17"/>
  <c r="I539" i="17"/>
  <c r="I538" i="17"/>
  <c r="I537" i="17"/>
  <c r="I536" i="17"/>
  <c r="I535" i="17"/>
  <c r="I534" i="17"/>
  <c r="I533" i="17"/>
  <c r="I532" i="17"/>
  <c r="I531" i="17"/>
  <c r="I530" i="17"/>
  <c r="I529" i="17"/>
  <c r="I528" i="17"/>
  <c r="I527" i="17"/>
  <c r="I526" i="17"/>
  <c r="I525" i="17"/>
  <c r="I524" i="17"/>
  <c r="I523" i="17"/>
  <c r="I522" i="17"/>
  <c r="I521" i="17"/>
  <c r="I520" i="17"/>
  <c r="I519" i="17"/>
  <c r="I518" i="17"/>
  <c r="I517" i="17"/>
  <c r="I516" i="17"/>
  <c r="I515" i="17"/>
  <c r="I514" i="17"/>
  <c r="I513" i="17"/>
  <c r="I512" i="17"/>
  <c r="I511" i="17"/>
  <c r="I510" i="17"/>
  <c r="I509" i="17"/>
  <c r="I508" i="17"/>
  <c r="I507" i="17"/>
  <c r="I506" i="17"/>
  <c r="I505" i="17"/>
  <c r="I504" i="17"/>
  <c r="I503" i="17"/>
  <c r="I502" i="17"/>
  <c r="I501" i="17"/>
  <c r="I500" i="17"/>
  <c r="I499" i="17"/>
  <c r="I498" i="17"/>
  <c r="I497" i="17"/>
  <c r="I496" i="17"/>
  <c r="I495" i="17"/>
  <c r="I494" i="17"/>
  <c r="I493" i="17"/>
  <c r="I492" i="17"/>
  <c r="I491" i="17"/>
  <c r="I490" i="17"/>
  <c r="I489" i="17"/>
  <c r="I488" i="17"/>
  <c r="I487" i="17"/>
  <c r="I486" i="17"/>
  <c r="I485" i="17"/>
  <c r="I484" i="17"/>
  <c r="I483" i="17"/>
  <c r="I482" i="17"/>
  <c r="I481" i="17"/>
  <c r="I480" i="17"/>
  <c r="I479" i="17"/>
  <c r="I478" i="17"/>
  <c r="I477" i="17"/>
  <c r="I476" i="17"/>
  <c r="I475" i="17"/>
  <c r="I474" i="17"/>
  <c r="I473" i="17"/>
  <c r="I472" i="17"/>
  <c r="I471" i="17"/>
  <c r="I470" i="17"/>
  <c r="I469" i="17"/>
  <c r="I468" i="17"/>
  <c r="I467" i="17"/>
  <c r="I466" i="17"/>
  <c r="I465" i="17"/>
  <c r="I464" i="17"/>
  <c r="I463" i="17"/>
  <c r="I462" i="17"/>
  <c r="I461" i="17"/>
  <c r="I460" i="17"/>
  <c r="I459" i="17"/>
  <c r="I458" i="17"/>
  <c r="I457" i="17"/>
  <c r="I456" i="17"/>
  <c r="I455" i="17"/>
  <c r="I454" i="17"/>
  <c r="I453" i="17"/>
  <c r="I452" i="17"/>
  <c r="I451" i="17"/>
  <c r="I450" i="17"/>
  <c r="I449" i="17"/>
  <c r="I448" i="17"/>
  <c r="I447" i="17"/>
  <c r="I446" i="17"/>
  <c r="I445" i="17"/>
  <c r="I444" i="17"/>
  <c r="I443" i="17"/>
  <c r="I442" i="17"/>
  <c r="I441" i="17"/>
  <c r="I440" i="17"/>
  <c r="I439" i="17"/>
  <c r="I438" i="17"/>
  <c r="I437" i="17"/>
  <c r="I436" i="17"/>
  <c r="I435" i="17"/>
  <c r="I434" i="17"/>
  <c r="I433" i="17"/>
  <c r="I432" i="17"/>
  <c r="I431" i="17"/>
  <c r="I430" i="17"/>
  <c r="I429" i="17"/>
  <c r="I428" i="17"/>
  <c r="I427" i="17"/>
  <c r="I426" i="17"/>
  <c r="I425" i="17"/>
  <c r="I424" i="17"/>
  <c r="I423" i="17"/>
  <c r="I422" i="17"/>
  <c r="I421" i="17"/>
  <c r="I420" i="17"/>
  <c r="I419" i="17"/>
  <c r="I418" i="17"/>
  <c r="I417" i="17"/>
  <c r="I416" i="17"/>
  <c r="I415" i="17"/>
  <c r="I414" i="17"/>
  <c r="I413" i="17"/>
  <c r="I412" i="17"/>
  <c r="I411" i="17"/>
  <c r="I410" i="17"/>
  <c r="I409" i="17"/>
  <c r="I408" i="17"/>
  <c r="I407" i="17"/>
  <c r="I406" i="17"/>
  <c r="I405" i="17"/>
  <c r="I404" i="17"/>
  <c r="I403" i="17"/>
  <c r="I402" i="17"/>
  <c r="I401" i="17"/>
  <c r="I400" i="17"/>
  <c r="I399" i="17"/>
  <c r="I398" i="17"/>
  <c r="I397" i="17"/>
  <c r="I396" i="17"/>
  <c r="I395" i="17"/>
  <c r="I394" i="17"/>
  <c r="I393" i="17"/>
  <c r="I392" i="17"/>
  <c r="I391" i="17"/>
  <c r="I390" i="17"/>
  <c r="I389" i="17"/>
  <c r="I388" i="17"/>
  <c r="I387" i="17"/>
  <c r="I386" i="17"/>
  <c r="I385" i="17"/>
  <c r="I384" i="17"/>
  <c r="I383" i="17"/>
  <c r="I382" i="17"/>
  <c r="I381" i="17"/>
  <c r="I380" i="17"/>
  <c r="I379" i="17"/>
  <c r="I378" i="17"/>
  <c r="I377" i="17"/>
  <c r="I376" i="17"/>
  <c r="I375" i="17"/>
  <c r="I374" i="17"/>
  <c r="I373" i="17"/>
  <c r="I372" i="17"/>
  <c r="I371" i="17"/>
  <c r="I370" i="17"/>
  <c r="I369" i="17"/>
  <c r="I368" i="17"/>
  <c r="I367" i="17"/>
  <c r="I366" i="17"/>
  <c r="I365" i="17"/>
  <c r="I364" i="17"/>
  <c r="I363" i="17"/>
  <c r="I362" i="17"/>
  <c r="I361" i="17"/>
  <c r="I360" i="17"/>
  <c r="I359" i="17"/>
  <c r="I358" i="17"/>
  <c r="I357" i="17"/>
  <c r="I356" i="17"/>
  <c r="I355" i="17"/>
  <c r="I354" i="17"/>
  <c r="I353" i="17"/>
  <c r="I352" i="17"/>
  <c r="I351" i="17"/>
  <c r="I350" i="17"/>
  <c r="I349" i="17"/>
  <c r="I348" i="17"/>
  <c r="I347" i="17"/>
  <c r="I346" i="17"/>
  <c r="I345" i="17"/>
  <c r="I344" i="17"/>
  <c r="I343" i="17"/>
  <c r="I342" i="17"/>
  <c r="I341" i="17"/>
  <c r="I340" i="17"/>
  <c r="I339" i="17"/>
  <c r="I338" i="17"/>
  <c r="I337" i="17"/>
  <c r="I336" i="17"/>
  <c r="I335" i="17"/>
  <c r="I334" i="17"/>
  <c r="I333" i="17"/>
  <c r="I332" i="17"/>
  <c r="I331" i="17"/>
  <c r="I330" i="17"/>
  <c r="I329" i="17"/>
  <c r="I328" i="17"/>
  <c r="I327" i="17"/>
  <c r="I326" i="17"/>
  <c r="I325" i="17"/>
  <c r="I324" i="17"/>
  <c r="I323" i="17"/>
  <c r="I322" i="17"/>
  <c r="I321" i="17"/>
  <c r="I320" i="17"/>
  <c r="I319" i="17"/>
  <c r="I318" i="17"/>
  <c r="I317" i="17"/>
  <c r="I316" i="17"/>
  <c r="I315" i="17"/>
  <c r="I314" i="17"/>
  <c r="I313" i="17"/>
  <c r="I312" i="17"/>
  <c r="I311" i="17"/>
  <c r="I310" i="17"/>
  <c r="I309" i="17"/>
  <c r="I308" i="17"/>
  <c r="I307" i="17"/>
  <c r="I306" i="17"/>
  <c r="I305" i="17"/>
  <c r="I304" i="17"/>
  <c r="I303" i="17"/>
  <c r="I302" i="17"/>
  <c r="I301" i="17"/>
  <c r="I300" i="17"/>
  <c r="I299" i="17"/>
  <c r="I298" i="17"/>
  <c r="I297" i="17"/>
  <c r="I296" i="17"/>
  <c r="I295" i="17"/>
  <c r="I294" i="17"/>
  <c r="I293" i="17"/>
  <c r="I292" i="17"/>
  <c r="I291" i="17"/>
  <c r="I290" i="17"/>
  <c r="I289" i="17"/>
  <c r="I288" i="17"/>
  <c r="I287" i="17"/>
  <c r="I286" i="17"/>
  <c r="I285" i="17"/>
  <c r="I284" i="17"/>
  <c r="I283" i="17"/>
  <c r="I282" i="17"/>
  <c r="I281" i="17"/>
  <c r="I280" i="17"/>
  <c r="I279" i="17"/>
  <c r="I278" i="17"/>
  <c r="I277" i="17"/>
  <c r="I276" i="17"/>
  <c r="I275" i="17"/>
  <c r="I274" i="17"/>
  <c r="I273" i="17"/>
  <c r="I272" i="17"/>
  <c r="I271" i="17"/>
  <c r="I270" i="17"/>
  <c r="I269" i="17"/>
  <c r="I268" i="17"/>
  <c r="I267" i="17"/>
  <c r="I266" i="17"/>
  <c r="I265" i="17"/>
  <c r="I264" i="17"/>
  <c r="I263" i="17"/>
  <c r="I262" i="17"/>
  <c r="I261" i="17"/>
  <c r="I260" i="17"/>
  <c r="I259" i="17"/>
  <c r="I258" i="17"/>
  <c r="I257" i="17"/>
  <c r="I256" i="17"/>
  <c r="I255" i="17"/>
  <c r="I254" i="17"/>
  <c r="I253" i="17"/>
  <c r="I252" i="17"/>
  <c r="I251" i="17"/>
  <c r="I250" i="17"/>
  <c r="I249" i="17"/>
  <c r="I248" i="17"/>
  <c r="I247" i="17"/>
  <c r="I246" i="17"/>
  <c r="I245" i="17"/>
  <c r="I244" i="17"/>
  <c r="I243" i="17"/>
  <c r="I242" i="17"/>
  <c r="I241" i="17"/>
  <c r="I240" i="17"/>
  <c r="I239" i="17"/>
  <c r="I238" i="17"/>
  <c r="I237" i="17"/>
  <c r="I236" i="17"/>
  <c r="I235" i="17"/>
  <c r="I234" i="17"/>
  <c r="I233" i="17"/>
  <c r="I232" i="17"/>
  <c r="I231" i="17"/>
  <c r="I230" i="17"/>
  <c r="I229" i="17"/>
  <c r="I228" i="17"/>
  <c r="I227" i="17"/>
  <c r="I226" i="17"/>
  <c r="I225" i="17"/>
  <c r="I224" i="17"/>
  <c r="I223" i="17"/>
  <c r="I222" i="17"/>
  <c r="I221" i="17"/>
  <c r="I220" i="17"/>
  <c r="I219" i="17"/>
  <c r="I218" i="17"/>
  <c r="I217" i="17"/>
  <c r="I216" i="17"/>
  <c r="I215" i="17"/>
  <c r="I214" i="17"/>
  <c r="I213" i="17"/>
  <c r="I212" i="17"/>
  <c r="I211" i="17"/>
  <c r="I210" i="17"/>
  <c r="I209" i="17"/>
  <c r="I208" i="17"/>
  <c r="I207" i="17"/>
  <c r="I206" i="17"/>
  <c r="I205" i="17"/>
  <c r="I204" i="17"/>
  <c r="I203" i="17"/>
  <c r="I202" i="17"/>
  <c r="I201" i="17"/>
  <c r="I200" i="17"/>
  <c r="I199" i="17"/>
  <c r="I198" i="17"/>
  <c r="I197" i="17"/>
  <c r="I196" i="17"/>
  <c r="I195" i="17"/>
  <c r="I194" i="17"/>
  <c r="I193" i="17"/>
  <c r="I192" i="17"/>
  <c r="I191" i="17"/>
  <c r="I190" i="17"/>
  <c r="I189" i="17"/>
  <c r="I188" i="17"/>
  <c r="I187" i="17"/>
  <c r="I186" i="17"/>
  <c r="I185" i="17"/>
  <c r="I184" i="17"/>
  <c r="I183" i="17"/>
  <c r="I182" i="17"/>
  <c r="I181" i="17"/>
  <c r="I180" i="17"/>
  <c r="I179" i="17"/>
  <c r="I178" i="17"/>
  <c r="I177" i="17"/>
  <c r="I176" i="17"/>
  <c r="I175" i="17"/>
  <c r="I174" i="17"/>
  <c r="I173" i="17"/>
  <c r="I172" i="17"/>
  <c r="I171" i="17"/>
  <c r="I170" i="17"/>
  <c r="I169" i="17"/>
  <c r="I168" i="17"/>
  <c r="I167" i="17"/>
  <c r="I166" i="17"/>
  <c r="I165" i="17"/>
  <c r="I164" i="17"/>
  <c r="I163" i="17"/>
  <c r="I162" i="17"/>
  <c r="I161" i="17"/>
  <c r="I160" i="17"/>
  <c r="I159" i="17"/>
  <c r="I158" i="17"/>
  <c r="I157" i="17"/>
  <c r="I156" i="17"/>
  <c r="I155" i="17"/>
  <c r="I154" i="17"/>
  <c r="I153" i="17"/>
  <c r="I152" i="17"/>
  <c r="I151" i="17"/>
  <c r="I150" i="17"/>
  <c r="I149" i="17"/>
  <c r="I148" i="17"/>
  <c r="I147" i="17"/>
  <c r="I146" i="17"/>
  <c r="I145" i="17"/>
  <c r="I144" i="17"/>
  <c r="I143" i="17"/>
  <c r="I142" i="17"/>
  <c r="I141" i="17"/>
  <c r="I140" i="17"/>
  <c r="I139" i="17"/>
  <c r="I138" i="17"/>
  <c r="I137" i="17"/>
  <c r="I136" i="17"/>
  <c r="I135" i="17"/>
  <c r="I134" i="17"/>
  <c r="I133" i="17"/>
  <c r="I132" i="17"/>
  <c r="I131" i="17"/>
  <c r="I130" i="17"/>
  <c r="I129" i="17"/>
  <c r="I128" i="17"/>
  <c r="I127" i="17"/>
  <c r="I126" i="17"/>
  <c r="I125" i="17"/>
  <c r="I124" i="17"/>
  <c r="I123" i="17"/>
  <c r="I122" i="17"/>
  <c r="I121" i="17"/>
  <c r="I120" i="17"/>
  <c r="I119" i="17"/>
  <c r="I118" i="17"/>
  <c r="I117" i="17"/>
  <c r="I116" i="17"/>
  <c r="I115" i="17"/>
  <c r="I114" i="17"/>
  <c r="I113" i="17"/>
  <c r="I112" i="17"/>
  <c r="I111" i="17"/>
  <c r="I110" i="17"/>
  <c r="I109" i="17"/>
  <c r="I108" i="17"/>
  <c r="I107" i="17"/>
  <c r="I106" i="17"/>
  <c r="I105" i="17"/>
  <c r="I104" i="17"/>
  <c r="I103" i="17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3" i="10" l="1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2" i="11"/>
  <c r="I2" i="10"/>
  <c r="W31" i="14" l="1"/>
  <c r="W30" i="14"/>
  <c r="W29" i="14"/>
  <c r="W28" i="14"/>
  <c r="W27" i="14"/>
  <c r="W26" i="14"/>
  <c r="W25" i="14"/>
  <c r="W24" i="14"/>
  <c r="W23" i="14"/>
  <c r="W22" i="14"/>
  <c r="M88" i="5" l="1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68" i="5"/>
  <c r="L67" i="5" l="1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35" i="5"/>
  <c r="I3" i="5" l="1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2" i="5"/>
  <c r="K331" i="3" l="1"/>
  <c r="I331" i="3"/>
  <c r="K330" i="3"/>
  <c r="I330" i="3"/>
  <c r="K329" i="3"/>
  <c r="I329" i="3"/>
  <c r="K328" i="3"/>
  <c r="I328" i="3"/>
  <c r="K327" i="3"/>
  <c r="I327" i="3"/>
  <c r="K326" i="3"/>
  <c r="I326" i="3"/>
  <c r="K325" i="3"/>
  <c r="I325" i="3"/>
  <c r="K324" i="3"/>
  <c r="I324" i="3"/>
  <c r="K323" i="3"/>
  <c r="I323" i="3"/>
  <c r="K322" i="3"/>
  <c r="I322" i="3"/>
  <c r="K321" i="3"/>
  <c r="I321" i="3"/>
  <c r="K320" i="3"/>
  <c r="I320" i="3"/>
  <c r="K319" i="3"/>
  <c r="I319" i="3"/>
  <c r="K318" i="3"/>
  <c r="I318" i="3"/>
  <c r="K317" i="3"/>
  <c r="I317" i="3"/>
  <c r="K316" i="3"/>
  <c r="I316" i="3"/>
  <c r="K315" i="3"/>
  <c r="I315" i="3"/>
  <c r="K314" i="3"/>
  <c r="I314" i="3"/>
  <c r="K313" i="3"/>
  <c r="I313" i="3"/>
  <c r="K312" i="3"/>
  <c r="I312" i="3"/>
  <c r="K311" i="3"/>
  <c r="I311" i="3"/>
  <c r="K310" i="3"/>
  <c r="I310" i="3"/>
  <c r="K309" i="3"/>
  <c r="I309" i="3"/>
  <c r="K308" i="3"/>
  <c r="I308" i="3"/>
  <c r="K307" i="3"/>
  <c r="I307" i="3"/>
  <c r="K306" i="3"/>
  <c r="I306" i="3"/>
  <c r="K305" i="3"/>
  <c r="I305" i="3"/>
  <c r="K304" i="3"/>
  <c r="I304" i="3"/>
  <c r="K303" i="3"/>
  <c r="I303" i="3"/>
  <c r="K302" i="3"/>
  <c r="I302" i="3"/>
  <c r="K301" i="3"/>
  <c r="I301" i="3"/>
  <c r="K300" i="3"/>
  <c r="I300" i="3"/>
  <c r="K299" i="3"/>
  <c r="I299" i="3"/>
  <c r="K298" i="3"/>
  <c r="I298" i="3"/>
  <c r="K297" i="3"/>
  <c r="I297" i="3"/>
  <c r="K296" i="3"/>
  <c r="I296" i="3"/>
  <c r="K295" i="3"/>
  <c r="I295" i="3"/>
  <c r="K294" i="3"/>
  <c r="I294" i="3"/>
  <c r="K293" i="3"/>
  <c r="I293" i="3"/>
  <c r="K292" i="3"/>
  <c r="I292" i="3"/>
  <c r="K291" i="3"/>
  <c r="I291" i="3"/>
  <c r="K290" i="3"/>
  <c r="I290" i="3"/>
  <c r="K289" i="3"/>
  <c r="I289" i="3"/>
  <c r="K288" i="3"/>
  <c r="I288" i="3"/>
  <c r="K287" i="3"/>
  <c r="I287" i="3"/>
  <c r="K286" i="3"/>
  <c r="I286" i="3"/>
  <c r="K285" i="3"/>
  <c r="I285" i="3"/>
  <c r="K284" i="3"/>
  <c r="I284" i="3"/>
  <c r="K283" i="3"/>
  <c r="I283" i="3"/>
  <c r="K282" i="3"/>
  <c r="I282" i="3"/>
  <c r="K281" i="3"/>
  <c r="I281" i="3"/>
  <c r="K280" i="3"/>
  <c r="I280" i="3"/>
  <c r="K279" i="3"/>
  <c r="I279" i="3"/>
  <c r="K278" i="3"/>
  <c r="I278" i="3"/>
  <c r="K277" i="3"/>
  <c r="I277" i="3"/>
  <c r="K276" i="3"/>
  <c r="I276" i="3"/>
  <c r="K275" i="3"/>
  <c r="I275" i="3"/>
  <c r="K274" i="3"/>
  <c r="I274" i="3"/>
  <c r="K273" i="3"/>
  <c r="I273" i="3"/>
  <c r="K272" i="3"/>
  <c r="I272" i="3"/>
  <c r="K271" i="3"/>
  <c r="I271" i="3"/>
  <c r="K270" i="3"/>
  <c r="I270" i="3"/>
  <c r="K269" i="3"/>
  <c r="I269" i="3"/>
  <c r="K268" i="3"/>
  <c r="I268" i="3"/>
  <c r="K267" i="3"/>
  <c r="I267" i="3"/>
  <c r="K266" i="3"/>
  <c r="I266" i="3"/>
  <c r="K265" i="3"/>
  <c r="I265" i="3"/>
  <c r="K264" i="3"/>
  <c r="I264" i="3"/>
  <c r="K263" i="3"/>
  <c r="I263" i="3"/>
  <c r="K262" i="3"/>
  <c r="I262" i="3"/>
  <c r="K261" i="3"/>
  <c r="I261" i="3"/>
  <c r="K260" i="3"/>
  <c r="I260" i="3"/>
  <c r="K259" i="3"/>
  <c r="I259" i="3"/>
  <c r="K258" i="3"/>
  <c r="I258" i="3"/>
  <c r="K257" i="3"/>
  <c r="I257" i="3"/>
  <c r="K256" i="3"/>
  <c r="I256" i="3"/>
  <c r="K255" i="3"/>
  <c r="I255" i="3"/>
  <c r="K254" i="3"/>
  <c r="I254" i="3"/>
  <c r="K253" i="3"/>
  <c r="I253" i="3"/>
  <c r="K252" i="3"/>
  <c r="I252" i="3"/>
  <c r="K251" i="3"/>
  <c r="I251" i="3"/>
  <c r="K250" i="3"/>
  <c r="I250" i="3"/>
  <c r="K249" i="3"/>
  <c r="I249" i="3"/>
  <c r="K248" i="3"/>
  <c r="I248" i="3"/>
  <c r="K247" i="3"/>
  <c r="I247" i="3"/>
  <c r="K246" i="3"/>
  <c r="I246" i="3"/>
  <c r="K245" i="3"/>
  <c r="I245" i="3"/>
  <c r="K244" i="3"/>
  <c r="I244" i="3"/>
  <c r="K243" i="3"/>
  <c r="I243" i="3"/>
  <c r="K242" i="3"/>
  <c r="I242" i="3"/>
  <c r="K241" i="3"/>
  <c r="I241" i="3"/>
  <c r="K240" i="3"/>
  <c r="I240" i="3"/>
  <c r="K239" i="3"/>
  <c r="I239" i="3"/>
  <c r="K238" i="3"/>
  <c r="I238" i="3"/>
  <c r="K237" i="3"/>
  <c r="I237" i="3"/>
  <c r="K236" i="3"/>
  <c r="I236" i="3"/>
  <c r="K235" i="3"/>
  <c r="I235" i="3"/>
  <c r="K234" i="3"/>
  <c r="I234" i="3"/>
  <c r="K233" i="3"/>
  <c r="I233" i="3"/>
  <c r="K232" i="3"/>
  <c r="I232" i="3"/>
  <c r="K231" i="3"/>
  <c r="I231" i="3"/>
  <c r="K230" i="3"/>
  <c r="I230" i="3"/>
  <c r="K229" i="3"/>
  <c r="I229" i="3"/>
  <c r="K228" i="3"/>
  <c r="I228" i="3"/>
  <c r="K227" i="3"/>
  <c r="I227" i="3"/>
  <c r="K226" i="3"/>
  <c r="I226" i="3"/>
  <c r="K225" i="3"/>
  <c r="I225" i="3"/>
  <c r="K224" i="3"/>
  <c r="I224" i="3"/>
  <c r="K223" i="3"/>
  <c r="I223" i="3"/>
  <c r="K222" i="3"/>
  <c r="I222" i="3"/>
  <c r="K221" i="3"/>
  <c r="I221" i="3"/>
  <c r="K220" i="3"/>
  <c r="I220" i="3"/>
  <c r="K219" i="3"/>
  <c r="I219" i="3"/>
  <c r="K218" i="3"/>
  <c r="I218" i="3"/>
  <c r="K217" i="3"/>
  <c r="I217" i="3"/>
  <c r="K216" i="3"/>
  <c r="I216" i="3"/>
  <c r="K215" i="3"/>
  <c r="I215" i="3"/>
  <c r="K214" i="3"/>
  <c r="I214" i="3"/>
  <c r="K213" i="3"/>
  <c r="I213" i="3"/>
  <c r="K212" i="3"/>
  <c r="I212" i="3"/>
  <c r="K211" i="3"/>
  <c r="I211" i="3"/>
  <c r="K210" i="3"/>
  <c r="I210" i="3"/>
  <c r="K209" i="3"/>
  <c r="I209" i="3"/>
  <c r="K208" i="3"/>
  <c r="I208" i="3"/>
  <c r="K207" i="3"/>
  <c r="I207" i="3"/>
  <c r="K206" i="3"/>
  <c r="I206" i="3"/>
  <c r="K205" i="3"/>
  <c r="I205" i="3"/>
  <c r="K204" i="3"/>
  <c r="I204" i="3"/>
  <c r="K203" i="3"/>
  <c r="I203" i="3"/>
  <c r="K202" i="3"/>
  <c r="I202" i="3"/>
  <c r="K201" i="3"/>
  <c r="I201" i="3"/>
  <c r="K200" i="3"/>
  <c r="I200" i="3"/>
  <c r="K199" i="3"/>
  <c r="I199" i="3"/>
  <c r="K198" i="3"/>
  <c r="I198" i="3"/>
  <c r="K197" i="3"/>
  <c r="I197" i="3"/>
  <c r="K196" i="3"/>
  <c r="I196" i="3"/>
  <c r="K195" i="3"/>
  <c r="I195" i="3"/>
  <c r="K194" i="3"/>
  <c r="I194" i="3"/>
  <c r="K193" i="3"/>
  <c r="I193" i="3"/>
  <c r="K192" i="3"/>
  <c r="I192" i="3"/>
  <c r="K191" i="3"/>
  <c r="I191" i="3"/>
  <c r="K190" i="3"/>
  <c r="I190" i="3"/>
  <c r="K189" i="3"/>
  <c r="I189" i="3"/>
  <c r="K188" i="3"/>
  <c r="I188" i="3"/>
  <c r="K187" i="3"/>
  <c r="I187" i="3"/>
  <c r="K186" i="3"/>
  <c r="I186" i="3"/>
  <c r="K185" i="3"/>
  <c r="I185" i="3"/>
  <c r="K184" i="3"/>
  <c r="I184" i="3"/>
  <c r="K183" i="3"/>
  <c r="I183" i="3"/>
  <c r="K182" i="3"/>
  <c r="I182" i="3"/>
  <c r="K181" i="3"/>
  <c r="I181" i="3"/>
  <c r="K180" i="3"/>
  <c r="I180" i="3"/>
  <c r="K179" i="3"/>
  <c r="I179" i="3"/>
  <c r="K178" i="3"/>
  <c r="I178" i="3"/>
  <c r="K177" i="3"/>
  <c r="I177" i="3"/>
  <c r="K176" i="3"/>
  <c r="I176" i="3"/>
  <c r="K175" i="3"/>
  <c r="I175" i="3"/>
  <c r="K174" i="3"/>
  <c r="I174" i="3"/>
  <c r="K173" i="3"/>
  <c r="I173" i="3"/>
  <c r="K172" i="3"/>
  <c r="I172" i="3"/>
  <c r="K171" i="3"/>
  <c r="I171" i="3"/>
  <c r="K170" i="3"/>
  <c r="I170" i="3"/>
  <c r="K169" i="3"/>
  <c r="I169" i="3"/>
  <c r="K168" i="3"/>
  <c r="I168" i="3"/>
  <c r="K167" i="3"/>
  <c r="I167" i="3"/>
  <c r="K166" i="3"/>
  <c r="I166" i="3"/>
  <c r="K165" i="3"/>
  <c r="I165" i="3"/>
  <c r="K164" i="3"/>
  <c r="I164" i="3"/>
  <c r="K163" i="3"/>
  <c r="I163" i="3"/>
  <c r="K162" i="3"/>
  <c r="I162" i="3"/>
  <c r="K161" i="3"/>
  <c r="I161" i="3"/>
  <c r="K160" i="3"/>
  <c r="I160" i="3"/>
  <c r="K159" i="3"/>
  <c r="I159" i="3"/>
  <c r="K158" i="3"/>
  <c r="I158" i="3"/>
  <c r="K157" i="3"/>
  <c r="I157" i="3"/>
  <c r="K156" i="3"/>
  <c r="I156" i="3"/>
  <c r="K155" i="3"/>
  <c r="I155" i="3"/>
  <c r="K154" i="3"/>
  <c r="I154" i="3"/>
  <c r="K153" i="3"/>
  <c r="I153" i="3"/>
  <c r="K152" i="3"/>
  <c r="I152" i="3"/>
  <c r="K151" i="3"/>
  <c r="I151" i="3"/>
  <c r="K150" i="3"/>
  <c r="I150" i="3"/>
  <c r="K149" i="3"/>
  <c r="I149" i="3"/>
  <c r="K148" i="3"/>
  <c r="I148" i="3"/>
  <c r="K147" i="3"/>
  <c r="I147" i="3"/>
  <c r="K146" i="3"/>
  <c r="I146" i="3"/>
  <c r="K145" i="3"/>
  <c r="I145" i="3"/>
  <c r="K144" i="3"/>
  <c r="I144" i="3"/>
  <c r="K143" i="3"/>
  <c r="I143" i="3"/>
  <c r="K142" i="3"/>
  <c r="I142" i="3"/>
  <c r="K141" i="3"/>
  <c r="I141" i="3"/>
  <c r="K140" i="3"/>
  <c r="I140" i="3"/>
  <c r="K139" i="3"/>
  <c r="I139" i="3"/>
  <c r="K138" i="3"/>
  <c r="I138" i="3"/>
  <c r="K137" i="3"/>
  <c r="I137" i="3"/>
  <c r="K136" i="3"/>
  <c r="I136" i="3"/>
  <c r="K135" i="3"/>
  <c r="I135" i="3"/>
  <c r="K134" i="3"/>
  <c r="I134" i="3"/>
  <c r="K133" i="3"/>
  <c r="I133" i="3"/>
  <c r="K132" i="3"/>
  <c r="I132" i="3"/>
  <c r="K131" i="3"/>
  <c r="I131" i="3"/>
  <c r="K130" i="3"/>
  <c r="I130" i="3"/>
  <c r="K129" i="3"/>
  <c r="I129" i="3"/>
  <c r="K128" i="3"/>
  <c r="I128" i="3"/>
  <c r="K127" i="3"/>
  <c r="I127" i="3"/>
  <c r="K126" i="3"/>
  <c r="I126" i="3"/>
  <c r="K125" i="3"/>
  <c r="I125" i="3"/>
  <c r="K124" i="3"/>
  <c r="I124" i="3"/>
  <c r="K123" i="3"/>
  <c r="I123" i="3"/>
  <c r="K122" i="3"/>
  <c r="I122" i="3"/>
  <c r="K121" i="3"/>
  <c r="I121" i="3"/>
  <c r="K120" i="3"/>
  <c r="I120" i="3"/>
  <c r="K119" i="3"/>
  <c r="I119" i="3"/>
  <c r="K118" i="3"/>
  <c r="I118" i="3"/>
  <c r="K117" i="3"/>
  <c r="I117" i="3"/>
  <c r="K116" i="3"/>
  <c r="I116" i="3"/>
  <c r="K115" i="3"/>
  <c r="I115" i="3"/>
  <c r="K114" i="3"/>
  <c r="I114" i="3"/>
  <c r="K113" i="3"/>
  <c r="I113" i="3"/>
  <c r="K112" i="3"/>
  <c r="I112" i="3"/>
  <c r="K111" i="3"/>
  <c r="I111" i="3"/>
  <c r="K110" i="3"/>
  <c r="I110" i="3"/>
  <c r="K109" i="3"/>
  <c r="I109" i="3"/>
  <c r="K108" i="3"/>
  <c r="I108" i="3"/>
  <c r="K107" i="3"/>
  <c r="I107" i="3"/>
  <c r="K106" i="3"/>
  <c r="I106" i="3"/>
  <c r="K105" i="3"/>
  <c r="I105" i="3"/>
  <c r="K104" i="3"/>
  <c r="I104" i="3"/>
  <c r="K103" i="3"/>
  <c r="I103" i="3"/>
  <c r="K102" i="3"/>
  <c r="I102" i="3"/>
  <c r="K101" i="3"/>
  <c r="I101" i="3"/>
  <c r="K100" i="3"/>
  <c r="I100" i="3"/>
  <c r="K99" i="3"/>
  <c r="I99" i="3"/>
  <c r="K98" i="3"/>
  <c r="I98" i="3"/>
  <c r="K97" i="3"/>
  <c r="I97" i="3"/>
  <c r="K96" i="3"/>
  <c r="I96" i="3"/>
  <c r="K95" i="3"/>
  <c r="I95" i="3"/>
  <c r="K94" i="3"/>
  <c r="I94" i="3"/>
  <c r="K93" i="3"/>
  <c r="I93" i="3"/>
  <c r="K92" i="3"/>
  <c r="I92" i="3"/>
  <c r="K91" i="3"/>
  <c r="I91" i="3"/>
  <c r="K90" i="3"/>
  <c r="I90" i="3"/>
  <c r="K89" i="3"/>
  <c r="I89" i="3"/>
  <c r="K88" i="3"/>
  <c r="I88" i="3"/>
  <c r="K87" i="3"/>
  <c r="I87" i="3"/>
  <c r="K86" i="3"/>
  <c r="I86" i="3"/>
  <c r="K85" i="3"/>
  <c r="I85" i="3"/>
  <c r="K84" i="3"/>
  <c r="I84" i="3"/>
  <c r="K83" i="3"/>
  <c r="I83" i="3"/>
  <c r="K82" i="3"/>
  <c r="I82" i="3"/>
  <c r="K81" i="3"/>
  <c r="I81" i="3"/>
  <c r="K80" i="3"/>
  <c r="I80" i="3"/>
  <c r="K79" i="3"/>
  <c r="I79" i="3"/>
  <c r="K78" i="3"/>
  <c r="I78" i="3"/>
  <c r="K77" i="3"/>
  <c r="I77" i="3"/>
  <c r="K76" i="3"/>
  <c r="I76" i="3"/>
  <c r="K75" i="3"/>
  <c r="I75" i="3"/>
  <c r="K74" i="3"/>
  <c r="I74" i="3"/>
  <c r="K73" i="3"/>
  <c r="I73" i="3"/>
  <c r="K72" i="3"/>
  <c r="I72" i="3"/>
  <c r="K71" i="3"/>
  <c r="I71" i="3"/>
  <c r="K70" i="3"/>
  <c r="I70" i="3"/>
  <c r="K69" i="3"/>
  <c r="I69" i="3"/>
  <c r="K68" i="3"/>
  <c r="I68" i="3"/>
  <c r="K67" i="3"/>
  <c r="I67" i="3"/>
  <c r="K66" i="3"/>
  <c r="I66" i="3"/>
  <c r="K65" i="3"/>
  <c r="I65" i="3"/>
  <c r="K64" i="3"/>
  <c r="I64" i="3"/>
  <c r="K63" i="3"/>
  <c r="I63" i="3"/>
  <c r="K62" i="3"/>
  <c r="I62" i="3"/>
  <c r="K61" i="3"/>
  <c r="I61" i="3"/>
  <c r="K60" i="3"/>
  <c r="I60" i="3"/>
  <c r="K59" i="3"/>
  <c r="I59" i="3"/>
  <c r="K58" i="3"/>
  <c r="I58" i="3"/>
  <c r="K57" i="3"/>
  <c r="I57" i="3"/>
  <c r="K56" i="3"/>
  <c r="I56" i="3"/>
  <c r="K55" i="3"/>
  <c r="I55" i="3"/>
  <c r="K54" i="3"/>
  <c r="I54" i="3"/>
  <c r="K53" i="3"/>
  <c r="I53" i="3"/>
  <c r="K52" i="3"/>
  <c r="I52" i="3"/>
  <c r="K51" i="3"/>
  <c r="I51" i="3"/>
  <c r="K50" i="3"/>
  <c r="I50" i="3"/>
  <c r="K49" i="3"/>
  <c r="I49" i="3"/>
  <c r="K48" i="3"/>
  <c r="I48" i="3"/>
  <c r="K47" i="3"/>
  <c r="I47" i="3"/>
  <c r="K46" i="3"/>
  <c r="I46" i="3"/>
  <c r="K45" i="3"/>
  <c r="I45" i="3"/>
  <c r="K44" i="3"/>
  <c r="I44" i="3"/>
  <c r="K43" i="3"/>
  <c r="I43" i="3"/>
  <c r="K42" i="3"/>
  <c r="I42" i="3"/>
  <c r="K41" i="3"/>
  <c r="I41" i="3"/>
  <c r="K40" i="3"/>
  <c r="I40" i="3"/>
  <c r="K39" i="3"/>
  <c r="I39" i="3"/>
  <c r="K38" i="3"/>
  <c r="I38" i="3"/>
  <c r="K37" i="3"/>
  <c r="I37" i="3"/>
  <c r="K36" i="3"/>
  <c r="I36" i="3"/>
  <c r="K35" i="3"/>
  <c r="I35" i="3"/>
  <c r="K34" i="3"/>
  <c r="I34" i="3"/>
  <c r="K33" i="3"/>
  <c r="I33" i="3"/>
  <c r="K32" i="3"/>
  <c r="I32" i="3"/>
  <c r="K31" i="3"/>
  <c r="I31" i="3"/>
  <c r="K30" i="3"/>
  <c r="I30" i="3"/>
  <c r="K29" i="3"/>
  <c r="I29" i="3"/>
  <c r="K28" i="3"/>
  <c r="I28" i="3"/>
  <c r="K27" i="3"/>
  <c r="I27" i="3"/>
  <c r="K26" i="3"/>
  <c r="I26" i="3"/>
  <c r="K25" i="3"/>
  <c r="I25" i="3"/>
  <c r="K24" i="3"/>
  <c r="I24" i="3"/>
  <c r="K23" i="3"/>
  <c r="I23" i="3"/>
  <c r="K22" i="3"/>
  <c r="I22" i="3"/>
  <c r="K21" i="3"/>
  <c r="I21" i="3"/>
  <c r="K20" i="3"/>
  <c r="I20" i="3"/>
  <c r="K19" i="3"/>
  <c r="I19" i="3"/>
  <c r="K18" i="3"/>
  <c r="I18" i="3"/>
  <c r="K17" i="3"/>
  <c r="I17" i="3"/>
  <c r="K16" i="3"/>
  <c r="I16" i="3"/>
  <c r="K15" i="3"/>
  <c r="I15" i="3"/>
  <c r="K14" i="3"/>
  <c r="I14" i="3"/>
  <c r="K13" i="3"/>
  <c r="I13" i="3"/>
  <c r="K12" i="3"/>
  <c r="I12" i="3"/>
  <c r="K11" i="3"/>
  <c r="I11" i="3"/>
  <c r="K10" i="3"/>
  <c r="I10" i="3"/>
  <c r="K9" i="3"/>
  <c r="I9" i="3"/>
  <c r="K8" i="3"/>
  <c r="I8" i="3"/>
  <c r="K7" i="3"/>
  <c r="I7" i="3"/>
  <c r="K6" i="3"/>
  <c r="I6" i="3"/>
  <c r="K5" i="3"/>
  <c r="I5" i="3"/>
  <c r="K4" i="3"/>
  <c r="I4" i="3"/>
  <c r="K3" i="3"/>
  <c r="I3" i="3"/>
  <c r="K2" i="3"/>
  <c r="I2" i="3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</calcChain>
</file>

<file path=xl/connections.xml><?xml version="1.0" encoding="utf-8"?>
<connections xmlns="http://schemas.openxmlformats.org/spreadsheetml/2006/main">
  <connection id="1" name="bar.ppm_evaluation" type="6" refreshedVersion="6" background="1" saveData="1">
    <textPr prompt="0" sourceFile="F:\CodeByLine\MATLAB-Jpeg-encoder-master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name="bar.ppm_evaluation1" type="6" refreshedVersion="6" background="1" saveData="1">
    <textPr prompt="0" sourceFile="F:\NewCodec\MATLAB-Jpeg-encoder-master-matlabDCT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bar.ppm_evaluation11" type="6" refreshedVersion="6" background="1" saveData="1">
    <textPr prompt="0" sourceFile="F:\HEVC_inner_Test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name="bar.ppm_evaluation12" type="6" refreshedVersion="6" background="1" saveData="1">
    <textPr prompt="0" sourceFile="F:\NewCodec\MATLAB-Jpeg-encoder-master-matlabDCT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name="bar_evaluation_411" type="6" refreshedVersion="6" background="1" saveData="1">
    <textPr prompt="0" sourceFile="F:\CodeByLine\TestIPAll\csv411\ba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bar_evaluation_4111" type="6" refreshedVersion="6" background="1" saveData="1">
    <textPr prompt="0" sourceFile="F:\CodeByLine\TestIPAll\csv411\ba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bar_evaluation_4112" type="6" refreshedVersion="6" background="1" saveData="1">
    <textPr prompt="0" sourceFile="F:\CodeByLine\TestIPAll\csv411\ba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baryuv.ppm_evaluation" type="6" refreshedVersion="6" background="1" saveData="1">
    <textPr prompt="0" sourceFile="F:\HEVC_inner_Test\ba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boston.ppm_evaluation" type="6" refreshedVersion="6" background="1" saveData="1">
    <textPr prompt="0" sourceFile="F:\NewCodec\MATLAB-Jpeg-encoder-master-matlabDCT\bost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boston.ppm_evaluation1" type="6" refreshedVersion="6" background="1" saveData="1">
    <textPr prompt="0" sourceFile="F:\NewCodec\MATLAB-Jpeg-encoder-master-matlabDCT\bost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bostonyuv.ppm_evaluation" type="6" refreshedVersion="6" background="1" saveData="1">
    <textPr prompt="0" sourceFile="F:\HEVC_inner_Test\bost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bostonyuv.ppm_evaluation1" type="6" refreshedVersion="6" background="1" saveData="1">
    <textPr prompt="0" sourceFile="F:\HEVC_inner_Test\bost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bottle.ppm_evaluation" type="6" refreshedVersion="6" background="1" saveData="1">
    <textPr prompt="0" sourceFile="F:\NewCodec\MATLAB-Jpeg-encoder-master-matlabDCT\bottl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bottle.ppm_evaluation1" type="6" refreshedVersion="6" background="1" saveData="1">
    <textPr prompt="0" sourceFile="F:\NewCodec\MATLAB-Jpeg-encoder-master-matlabDCT\bottl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bottleyuv.ppm_evaluation" type="6" refreshedVersion="6" background="1" saveData="1">
    <textPr prompt="0" sourceFile="F:\HEVC_inner_Test\bottl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" name="bottleyuv.ppm_evaluation1" type="6" refreshedVersion="6" background="1" saveData="1">
    <textPr prompt="0" sourceFile="F:\HEVC_inner_Test\bottl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building.ppm_evaluation" type="6" refreshedVersion="6" background="1" saveData="1">
    <textPr prompt="0" sourceFile="F:\CodeByLine\MATLAB-Jpeg-encoder-master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building.ppm_evaluation1" type="6" refreshedVersion="6" background="1" saveData="1">
    <textPr prompt="0" sourceFile="F:\NewCodec\MATLAB-Jpeg-encoder-master-matlabDCT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building.ppm_evaluation11" type="6" refreshedVersion="6" background="1" saveData="1">
    <textPr prompt="0" sourceFile="F:\CodeByLine\singleline_pre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building.ppm_evaluation12" type="6" refreshedVersion="6" background="1" saveData="1">
    <textPr prompt="0" sourceFile="F:\HEVC_inner_Test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building.ppm_evaluation13" type="6" refreshedVersion="6" background="1" saveData="1">
    <textPr prompt="0" sourceFile="F:\NewCodec\MATLAB-Jpeg-encoder-master-matlabDCT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building_evaluation_411" type="6" refreshedVersion="6" background="1" saveData="1">
    <textPr prompt="0" sourceFile="F:\CodeByLine\TestIPAll\csv411\buil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building_evaluation_4111" type="6" refreshedVersion="6" background="1" saveData="1">
    <textPr prompt="0" sourceFile="F:\CodeByLine\TestIPAll\csv411\buil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building_evaluation_4112" type="6" refreshedVersion="6" background="1" saveData="1">
    <textPr prompt="0" sourceFile="F:\CodeByLine\TestIPAll\csv411\buil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building_evaluation_422" type="6" refreshedVersion="6" background="1" saveData="1">
    <textPr prompt="0" sourceFile="F:\CodeByLine\TestIPAll\csv422\buil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building_evaluation_4221" type="6" refreshedVersion="6" background="1" saveData="1">
    <textPr prompt="0" sourceFile="F:\CodeByLine\TestIPAll\csv422\buil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name="building_evaluation_4222" type="6" refreshedVersion="6" background="1" saveData="1">
    <textPr prompt="0" sourceFile="F:\CodeByLine\TestIPAll\csv422\buil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building_evaluation_444" type="6" refreshedVersion="6" background="1" saveData="1">
    <textPr prompt="0" sourceFile="F:\CodeByLine\TestIPAll\csv444\buil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building_evaluation_4441" type="6" refreshedVersion="6" background="1" saveData="1">
    <textPr prompt="0" sourceFile="F:\CodeByLine\TestIPAll\csv444\buil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building_evaluation_4442" type="6" refreshedVersion="6" background="1" saveData="1">
    <textPr prompt="0" sourceFile="F:\CodeByLine\TestIPAll\csv444\buil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buildingyuv.ppm_evaluation" type="6" refreshedVersion="6" background="1" saveData="1">
    <textPr prompt="0" sourceFile="F:\HEVC_inner_Test\buil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buildingyuv.ppm_evaluation1" type="6" refreshedVersion="6" background="1" saveData="1">
    <textPr prompt="0" sourceFile="F:\HEVC_inner_Test\buil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camera.ppm_evaluation" type="6" refreshedVersion="6" background="1" saveData="1">
    <textPr prompt="0" sourceFile="F:\NewCodec\MATLAB-Jpeg-encoder-master-matlabDCT\camera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camera.ppm_evaluation1" type="6" refreshedVersion="6" background="1" saveData="1">
    <textPr prompt="0" sourceFile="F:\NewCodec\MATLAB-Jpeg-encoder-master-matlabDCT\camera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camerayuv.ppm_evaluation" type="6" refreshedVersion="6" background="1" saveData="1">
    <textPr prompt="0" sourceFile="F:\HEVC_inner_Test\camera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camerayuv.ppm_evaluation1" type="6" refreshedVersion="6" background="1" saveData="1">
    <textPr prompt="0" sourceFile="F:\HEVC_inner_Test\camera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character.ppm_evaluation" type="6" refreshedVersion="6" background="1" saveData="1">
    <textPr prompt="0" sourceFile="F:\NewCodec\MATLAB-Jpeg-encoder-master-matlabDCT\charact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character.ppm_evaluation1" type="6" refreshedVersion="6" background="1" saveData="1">
    <textPr prompt="0" sourceFile="F:\NewCodec\MATLAB-Jpeg-encoder-master-matlabDCT\charact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character.ppm_evaluation11" type="6" refreshedVersion="6" background="1" saveData="1">
    <textPr prompt="0" sourceFile="F:\HEVC_inner_Test\charact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character_evaluation_411" type="6" refreshedVersion="6" background="1" saveData="1">
    <textPr prompt="0" sourceFile="F:\CodeByLine\TestIPAll\csv411\charact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character_evaluation_4111" type="6" refreshedVersion="6" background="1" saveData="1">
    <textPr prompt="0" sourceFile="F:\CodeByLine\TestIPAll\csv411\charact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character_evaluation_4112" type="6" refreshedVersion="6" background="1" saveData="1">
    <textPr prompt="0" sourceFile="F:\CodeByLine\TestIPAll\csv411\charact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character_evaluation_422" type="6" refreshedVersion="6" background="1" saveData="1">
    <textPr prompt="0" sourceFile="F:\CodeByLine\TestIPAll\csv422\charact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character_evaluation_4221" type="6" refreshedVersion="6" background="1" saveData="1">
    <textPr prompt="0" sourceFile="F:\CodeByLine\TestIPAll\csv422\charact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character_evaluation_4222" type="6" refreshedVersion="6" background="1" saveData="1">
    <textPr prompt="0" sourceFile="F:\CodeByLine\TestIPAll\csv422\charact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character_evaluation_444" type="6" refreshedVersion="6" background="1" saveData="1">
    <textPr prompt="0" sourceFile="F:\CodeByLine\TestIPAll\csv444\charact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character_evaluation_4441" type="6" refreshedVersion="6" background="1" saveData="1">
    <textPr prompt="0" sourceFile="F:\CodeByLine\TestIPAll\csv444\charact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character_evaluation_4442" type="6" refreshedVersion="6" background="1" saveData="1">
    <textPr prompt="0" sourceFile="F:\CodeByLine\TestIPAll\csv444\charact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characteryuv.ppm_evaluation" type="6" refreshedVersion="6" background="1" saveData="1">
    <textPr prompt="0" sourceFile="F:\HEVC_inner_Test\charact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characteryuv.ppm_evaluation1" type="6" refreshedVersion="6" background="1" saveData="1">
    <textPr prompt="0" sourceFile="F:\HEVC_inner_Test\charact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concord.ppm_evaluation" type="6" refreshedVersion="6" background="1" saveData="1">
    <textPr prompt="0" sourceFile="F:\NewCodec\MATLAB-Jpeg-encoder-master-matlabDCT\concord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concord.ppm_evaluation1" type="6" refreshedVersion="6" background="1" saveData="1">
    <textPr prompt="0" sourceFile="F:\NewCodec\MATLAB-Jpeg-encoder-master-matlabDCT\concord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concordyuv.ppm_evaluation" type="6" refreshedVersion="6" background="1" saveData="1">
    <textPr prompt="0" sourceFile="F:\HEVC_inner_Test\concord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concordyuv.ppm_evaluation1" type="6" refreshedVersion="6" background="1" saveData="1">
    <textPr prompt="0" sourceFile="F:\HEVC_inner_Test\concord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deskchair.ppm_evaluation" type="6" refreshedVersion="6" background="1" saveData="1">
    <textPr prompt="0" sourceFile="F:\NewCodec\MATLAB-Jpeg-encoder-master-matlabDCT\deskchai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deskchair.ppm_evaluation1" type="6" refreshedVersion="6" background="1" saveData="1">
    <textPr prompt="0" sourceFile="F:\NewCodec\MATLAB-Jpeg-encoder-master-matlabDCT\deskchai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deskchairyuv.ppm_evaluation" type="6" refreshedVersion="6" background="1" saveData="1">
    <textPr prompt="0" sourceFile="F:\HEVC_inner_Test\deskchai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deskchairyuv.ppm_evaluation1" type="6" refreshedVersion="6" background="1" saveData="1">
    <textPr prompt="0" sourceFile="F:\HEVC_inner_Test\deskchai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name="earth.ppm_evaluation" type="6" refreshedVersion="6" background="1" saveData="1">
    <textPr prompt="0" sourceFile="F:\CodeByLine\MATLAB-Jpeg-encoder-master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earth.ppm_evaluation1" type="6" refreshedVersion="6" background="1" saveData="1">
    <textPr prompt="0" sourceFile="F:\NewCodec\MATLAB-Jpeg-encoder-master-matlabDCT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earth.ppm_evaluation11" type="6" refreshedVersion="6" background="1" saveData="1">
    <textPr prompt="0" sourceFile="F:\CodeByLine\singleline_pre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earth.ppm_evaluation12" type="6" refreshedVersion="6" background="1" saveData="1">
    <textPr prompt="0" sourceFile="F:\HEVC_inner_Test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earth.ppm_evaluation13" type="6" refreshedVersion="6" background="1" saveData="1">
    <textPr prompt="0" sourceFile="F:\NewCodec\MATLAB-Jpeg-encoder-master-matlabDCT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earth_evaluation_411" type="6" refreshedVersion="6" background="1" saveData="1">
    <textPr prompt="0" sourceFile="F:\CodeByLine\TestIPAll\csv411\earth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earth_evaluation_4111" type="6" refreshedVersion="6" background="1" saveData="1">
    <textPr prompt="0" sourceFile="F:\CodeByLine\TestIPAll\csv411\earth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earth_evaluation_4112" type="6" refreshedVersion="6" background="1" saveData="1">
    <textPr prompt="0" sourceFile="F:\CodeByLine\TestIPAll\csv411\earth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earth_evaluation_422" type="6" refreshedVersion="6" background="1" saveData="1">
    <textPr prompt="0" sourceFile="F:\CodeByLine\TestIPAll\csv422\earth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earth_evaluation_4221" type="6" refreshedVersion="6" background="1" saveData="1">
    <textPr prompt="0" sourceFile="F:\CodeByLine\TestIPAll\csv422\earth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earth_evaluation_4222" type="6" refreshedVersion="6" background="1" saveData="1">
    <textPr prompt="0" sourceFile="F:\CodeByLine\TestIPAll\csv422\earth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earth_evaluation_444" type="6" refreshedVersion="6" background="1" saveData="1">
    <textPr prompt="0" sourceFile="F:\CodeByLine\TestIPAll\csv444\earth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earth_evaluation_4441" type="6" refreshedVersion="6" background="1" saveData="1">
    <textPr prompt="0" sourceFile="F:\CodeByLine\TestIPAll\csv444\earth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earth_evaluation_4442" type="6" refreshedVersion="6" background="1" saveData="1">
    <textPr prompt="0" sourceFile="F:\CodeByLine\TestIPAll\csv444\earth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earthyuv.ppm_evaluation" type="6" refreshedVersion="6" background="1" saveData="1">
    <textPr prompt="0" sourceFile="F:\HEVC_inner_Test\earth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earthyuv.ppm_evaluation1" type="6" refreshedVersion="6" background="1" saveData="1">
    <textPr prompt="0" sourceFile="F:\HEVC_inner_Test\earth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flower.ppm_evaluation" type="6" refreshedVersion="6" background="1" saveData="1">
    <textPr prompt="0" sourceFile="F:\NewCodec\MATLAB-Jpeg-encoder-master-matlabDCT\flow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flower.ppm_evaluation1" type="6" refreshedVersion="6" background="1" saveData="1">
    <textPr prompt="0" sourceFile="F:\NewCodec\MATLAB-Jpeg-encoder-master-matlabDCT\flow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flower.ppm_evaluation11" type="6" refreshedVersion="6" background="1" saveData="1">
    <textPr prompt="0" sourceFile="F:\HEVC_inner_Test\flow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flower_evaluation_411" type="6" refreshedVersion="6" background="1" saveData="1">
    <textPr prompt="0" sourceFile="F:\CodeByLine\TestIPAll\csv411\flow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flower_evaluation_4111" type="6" refreshedVersion="6" background="1" saveData="1">
    <textPr prompt="0" sourceFile="F:\CodeByLine\TestIPAll\csv411\flow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flower_evaluation_4112" type="6" refreshedVersion="6" background="1" saveData="1">
    <textPr prompt="0" sourceFile="F:\CodeByLine\TestIPAll\csv411\flow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flower_evaluation_422" type="6" refreshedVersion="6" background="1" saveData="1">
    <textPr prompt="0" sourceFile="F:\CodeByLine\TestIPAll\csv422\flow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flower_evaluation_4221" type="6" refreshedVersion="6" background="1" saveData="1">
    <textPr prompt="0" sourceFile="F:\CodeByLine\TestIPAll\csv422\flow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flower_evaluation_4222" type="6" refreshedVersion="6" background="1" saveData="1">
    <textPr prompt="0" sourceFile="F:\CodeByLine\TestIPAll\csv422\flow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flower_evaluation_444" type="6" refreshedVersion="6" background="1" saveData="1">
    <textPr prompt="0" sourceFile="F:\CodeByLine\TestIPAll\csv444\flow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flower_evaluation_4441" type="6" refreshedVersion="6" background="1" saveData="1">
    <textPr prompt="0" sourceFile="F:\CodeByLine\TestIPAll\csv444\flow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flower_evaluation_4442" type="6" refreshedVersion="6" background="1" saveData="1">
    <textPr prompt="0" sourceFile="F:\CodeByLine\TestIPAll\csv444\flow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floweryuv.ppm_evaluation" type="6" refreshedVersion="6" background="1" saveData="1">
    <textPr prompt="0" sourceFile="F:\HEVC_inner_Test\flow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floweryuv.ppm_evaluation1" type="6" refreshedVersion="6" background="1" saveData="1">
    <textPr prompt="0" sourceFile="F:\HEVC_inner_Test\flow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9" name="kitchen.ppm_evaluation" type="6" refreshedVersion="6" background="1" saveData="1">
    <textPr prompt="0" sourceFile="F:\NewCodec\MATLAB-Jpeg-encoder-master-matlabDCT\kitche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kitchen.ppm_evaluation1" type="6" refreshedVersion="6" background="1" saveData="1">
    <textPr prompt="0" sourceFile="F:\NewCodec\MATLAB-Jpeg-encoder-master-matlabDCT\kitche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1" name="kitchenyuv.ppm_evaluation" type="6" refreshedVersion="6" background="1" saveData="1">
    <textPr prompt="0" sourceFile="F:\HEVC_inner_Test\kitche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2" name="kitchenyuv.ppm_evaluation1" type="6" refreshedVersion="6" background="1" saveData="1">
    <textPr prompt="0" sourceFile="F:\HEVC_inner_Test\kitche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lemon.ppm_evaluation" type="6" refreshedVersion="6" background="1" saveData="1">
    <textPr prompt="0" sourceFile="F:\NewCodec\MATLAB-Jpeg-encoder-master-matlabDCT\lem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lemon.ppm_evaluation1" type="6" refreshedVersion="6" background="1" saveData="1">
    <textPr prompt="0" sourceFile="F:\NewCodec\MATLAB-Jpeg-encoder-master-matlabDCT\lem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lemonyuv.ppm_evaluation" type="6" refreshedVersion="6" background="1" saveData="1">
    <textPr prompt="0" sourceFile="F:\HEVC_inner_Test\lem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lemonyuv.ppm_evaluation1" type="6" refreshedVersion="6" background="1" saveData="1">
    <textPr prompt="0" sourceFile="F:\HEVC_inner_Test\lem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pc_desktop.ppm_evaluation" type="6" refreshedVersion="6" background="1" saveData="1">
    <textPr prompt="0" sourceFile="F:\NewCodec\MATLAB-Jpeg-encoder-master-matlabDCT\pc_deskt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pc_desktop.ppm_evaluation1" type="6" refreshedVersion="6" background="1" saveData="1">
    <textPr prompt="0" sourceFile="F:\NewCodec\MATLAB-Jpeg-encoder-master-matlabDCT\pc_deskt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pc_desktop_evaluation_411" type="6" refreshedVersion="6" background="1" saveData="1">
    <textPr prompt="0" sourceFile="F:\CodeByLine\TestIPAll\csv411\pc_deskt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pc_desktop_evaluation_4111" type="6" refreshedVersion="6" background="1" saveData="1">
    <textPr prompt="0" sourceFile="F:\CodeByLine\TestIPAll\csv411\pc_deskt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pc_desktop_evaluation_4112" type="6" refreshedVersion="6" background="1" saveData="1">
    <textPr prompt="0" sourceFile="F:\CodeByLine\TestIPAll\csv411\pc_deskt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pc_desktop_evaluation_422" type="6" refreshedVersion="6" background="1" saveData="1">
    <textPr prompt="0" sourceFile="F:\CodeByLine\TestIPAll\csv422\pc_deskt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pc_desktop_evaluation_4221" type="6" refreshedVersion="6" background="1" saveData="1">
    <textPr prompt="0" sourceFile="F:\CodeByLine\TestIPAll\csv422\pc_deskt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pc_desktop_evaluation_4222" type="6" refreshedVersion="6" background="1" saveData="1">
    <textPr prompt="0" sourceFile="F:\CodeByLine\TestIPAll\csv422\pc_deskt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pc_desktop_evaluation_444" type="6" refreshedVersion="6" background="1" saveData="1">
    <textPr prompt="0" sourceFile="F:\CodeByLine\TestIPAll\csv444\pc_deskt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pc_desktop_evaluation_4441" type="6" refreshedVersion="6" background="1" saveData="1">
    <textPr prompt="0" sourceFile="F:\CodeByLine\TestIPAll\csv444\pc_deskt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pc_desktop_evaluation_4442" type="6" refreshedVersion="6" background="1" saveData="1">
    <textPr prompt="0" sourceFile="F:\CodeByLine\TestIPAll\csv444\pc_deskt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pc_desktopyuv.ppm_evaluation" type="6" refreshedVersion="6" background="1" saveData="1">
    <textPr prompt="0" sourceFile="F:\HEVC_inner_Test\pc_deskt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pc_desktopyuv.ppm_evaluation1" type="6" refreshedVersion="6" background="1" saveData="1">
    <textPr prompt="0" sourceFile="F:\HEVC_inner_Test\pc_deskt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pcgame.ppm_evaluation" type="6" refreshedVersion="6" background="1" saveData="1">
    <textPr prompt="0" sourceFile="F:\NewCodec\MATLAB-Jpeg-encoder-master-matlabDCT\pcgam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pcgame.ppm_evaluation1" type="6" refreshedVersion="6" background="1" saveData="1">
    <textPr prompt="0" sourceFile="F:\NewCodec\MATLAB-Jpeg-encoder-master-matlabDCT\pcgam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pcgame_evaluation_411" type="6" refreshedVersion="6" background="1" saveData="1">
    <textPr prompt="0" sourceFile="F:\CodeByLine\TestIPAll\csv411\pcgame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pcgame_evaluation_4111" type="6" refreshedVersion="6" background="1" saveData="1">
    <textPr prompt="0" sourceFile="F:\CodeByLine\TestIPAll\csv411\pcgame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pcgame_evaluation_4112" type="6" refreshedVersion="6" background="1" saveData="1">
    <textPr prompt="0" sourceFile="F:\CodeByLine\TestIPAll\csv411\pcgame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pcgame_evaluation_422" type="6" refreshedVersion="6" background="1" saveData="1">
    <textPr prompt="0" sourceFile="F:\CodeByLine\TestIPAll\csv422\pcgame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pcgame_evaluation_4221" type="6" refreshedVersion="6" background="1" saveData="1">
    <textPr prompt="0" sourceFile="F:\CodeByLine\TestIPAll\csv422\pcgame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pcgame_evaluation_4222" type="6" refreshedVersion="6" background="1" saveData="1">
    <textPr prompt="0" sourceFile="F:\CodeByLine\TestIPAll\csv422\pcgame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pcgame_evaluation_444" type="6" refreshedVersion="6" background="1" saveData="1">
    <textPr prompt="0" sourceFile="F:\CodeByLine\TestIPAll\csv444\pcgame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pcgame_evaluation_4441" type="6" refreshedVersion="6" background="1" saveData="1">
    <textPr prompt="0" sourceFile="F:\CodeByLine\TestIPAll\csv444\pcgame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pcgame_evaluation_4442" type="6" refreshedVersion="6" background="1" saveData="1">
    <textPr prompt="0" sourceFile="F:\CodeByLine\TestIPAll\csv444\pcgame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pcgameyuv.ppm_evaluation" type="6" refreshedVersion="6" background="1" saveData="1">
    <textPr prompt="0" sourceFile="F:\HEVC_inner_Test\pcgam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pcgameyuv.ppm_evaluation1" type="6" refreshedVersion="6" background="1" saveData="1">
    <textPr prompt="0" sourceFile="F:\HEVC_inner_Test\pcgam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rainier.ppm_evaluation" type="6" refreshedVersion="6" background="1" saveData="1">
    <textPr prompt="0" sourceFile="F:\NewCodec\MATLAB-Jpeg-encoder-master-matlabDCT\raini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rainier.ppm_evaluation1" type="6" refreshedVersion="6" background="1" saveData="1">
    <textPr prompt="0" sourceFile="F:\NewCodec\MATLAB-Jpeg-encoder-master-matlabDCT\raini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rainieryuv.ppm_evaluation" type="6" refreshedVersion="6" background="1" saveData="1">
    <textPr prompt="0" sourceFile="F:\HEVC_inner_Test\raini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rainieryuv.ppm_evaluation1" type="6" refreshedVersion="6" background="1" saveData="1">
    <textPr prompt="0" sourceFile="F:\HEVC_inner_Test\raini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room.ppm_evaluation" type="6" refreshedVersion="6" background="1" saveData="1">
    <textPr prompt="0" sourceFile="F:\NewCodec\MATLAB-Jpeg-encoder-master-matlabDCT\room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room.ppm_evaluation1" type="6" refreshedVersion="6" background="1" saveData="1">
    <textPr prompt="0" sourceFile="F:\NewCodec\MATLAB-Jpeg-encoder-master-matlabDCT\room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roomyuv.ppm_evaluation" type="6" refreshedVersion="6" background="1" saveData="1">
    <textPr prompt="0" sourceFile="F:\HEVC_inner_Test\room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roomyuv.ppm_evaluation1" type="6" refreshedVersion="6" background="1" saveData="1">
    <textPr prompt="0" sourceFile="F:\HEVC_inner_Test\room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scratches.ppm_evaluation" type="6" refreshedVersion="6" background="1" saveData="1">
    <textPr prompt="0" sourceFile="F:\NewCodec\MATLAB-Jpeg-encoder-master-matlabDCT\scratches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scratches.ppm_evaluation1" type="6" refreshedVersion="6" background="1" saveData="1">
    <textPr prompt="0" sourceFile="F:\NewCodec\MATLAB-Jpeg-encoder-master-matlabDCT\scratches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scratchesyuv.ppm_evaluation" type="6" refreshedVersion="6" background="1" saveData="1">
    <textPr prompt="0" sourceFile="F:\HEVC_inner_Test\scratches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scratchesyuv.ppm_evaluation1" type="6" refreshedVersion="6" background="1" saveData="1">
    <textPr prompt="0" sourceFile="F:\HEVC_inner_Test\scratches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shop.ppm_evaluation" type="6" refreshedVersion="6" background="1" saveData="1">
    <textPr prompt="0" sourceFile="F:\NewCodec\MATLAB-Jpeg-encoder-master-matlabDCT\sh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shop.ppm_evaluation1" type="6" refreshedVersion="6" background="1" saveData="1">
    <textPr prompt="0" sourceFile="F:\NewCodec\MATLAB-Jpeg-encoder-master-matlabDCT\sh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7" name="shop.ppm_evaluation11" type="6" refreshedVersion="6" background="1" saveData="1">
    <textPr prompt="0" sourceFile="F:\HEVC_inner_Test\sh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shop_evaluation_411" type="6" refreshedVersion="6" background="1" saveData="1">
    <textPr prompt="0" sourceFile="F:\CodeByLine\TestIPAll\csv411\sh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shop_evaluation_4111" type="6" refreshedVersion="6" background="1" saveData="1">
    <textPr prompt="0" sourceFile="F:\CodeByLine\TestIPAll\csv411\sh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shop_evaluation_4112" type="6" refreshedVersion="6" background="1" saveData="1">
    <textPr prompt="0" sourceFile="F:\CodeByLine\TestIPAll\csv411\sh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shop_evaluation_422" type="6" refreshedVersion="6" background="1" saveData="1">
    <textPr prompt="0" sourceFile="F:\CodeByLine\TestIPAll\csv422\sh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shop_evaluation_4221" type="6" refreshedVersion="6" background="1" saveData="1">
    <textPr prompt="0" sourceFile="F:\CodeByLine\TestIPAll\csv422\sh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shop_evaluation_4222" type="6" refreshedVersion="6" background="1" saveData="1">
    <textPr prompt="0" sourceFile="F:\CodeByLine\TestIPAll\csv422\sh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shop_evaluation_444" type="6" refreshedVersion="6" background="1" saveData="1">
    <textPr prompt="0" sourceFile="F:\CodeByLine\TestIPAll\csv444\sh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shop_evaluation_4441" type="6" refreshedVersion="6" background="1" saveData="1">
    <textPr prompt="0" sourceFile="F:\CodeByLine\TestIPAll\csv444\sh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shop_evaluation_4442" type="6" refreshedVersion="6" background="1" saveData="1">
    <textPr prompt="0" sourceFile="F:\CodeByLine\TestIPAll\csv444\sh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shopyuv.ppm_evaluation" type="6" refreshedVersion="6" background="1" saveData="1">
    <textPr prompt="0" sourceFile="F:\HEVC_inner_Test\sh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shopyuv.ppm_evaluation1" type="6" refreshedVersion="6" background="1" saveData="1">
    <textPr prompt="0" sourceFile="F:\HEVC_inner_Test\sh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9" name="smooth_building1072.ppm_evaluation1" type="6" refreshedVersion="6" background="1" saveData="1">
    <textPr prompt="0" sourceFile="F:\CodeByLine\test_smooth\smooth_building1072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smooth_earth1072.ppm_evaluation1" type="6" refreshedVersion="6" background="1" saveData="1">
    <textPr prompt="0" sourceFile="F:\CodeByLine\test_smooth\smooth_earth1072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street.ppm_evaluation" type="6" refreshedVersion="6" background="1" saveData="1">
    <textPr prompt="0" sourceFile="F:\NewCodec\MATLAB-Jpeg-encoder-master-matlabDCT\street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street.ppm_evaluation1" type="6" refreshedVersion="6" background="1" saveData="1">
    <textPr prompt="0" sourceFile="F:\NewCodec\MATLAB-Jpeg-encoder-master-matlabDCT\street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street_evaluation_411" type="6" refreshedVersion="6" background="1" saveData="1">
    <textPr prompt="0" sourceFile="F:\CodeByLine\TestIPAll\csv411\street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street_evaluation_4111" type="6" refreshedVersion="6" background="1" saveData="1">
    <textPr prompt="0" sourceFile="F:\CodeByLine\TestIPAll\csv411\street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street_evaluation_4112" type="6" refreshedVersion="6" background="1" saveData="1">
    <textPr prompt="0" sourceFile="F:\CodeByLine\TestIPAll\csv411\street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street_evaluation_422" type="6" refreshedVersion="6" background="1" saveData="1">
    <textPr prompt="0" sourceFile="F:\CodeByLine\TestIPAll\csv422\street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street_evaluation_4221" type="6" refreshedVersion="6" background="1" saveData="1">
    <textPr prompt="0" sourceFile="F:\CodeByLine\TestIPAll\csv422\street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street_evaluation_4222" type="6" refreshedVersion="6" background="1" saveData="1">
    <textPr prompt="0" sourceFile="F:\CodeByLine\TestIPAll\csv422\street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street_evaluation_444" type="6" refreshedVersion="6" background="1" saveData="1">
    <textPr prompt="0" sourceFile="F:\CodeByLine\TestIPAll\csv444\street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0" name="street_evaluation_4441" type="6" refreshedVersion="6" background="1" saveData="1">
    <textPr prompt="0" sourceFile="F:\CodeByLine\TestIPAll\csv444\street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street_evaluation_4442" type="6" refreshedVersion="6" background="1" saveData="1">
    <textPr prompt="0" sourceFile="F:\CodeByLine\TestIPAll\csv444\street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streetyuv.ppm_evaluation" type="6" refreshedVersion="6" background="1" saveData="1">
    <textPr prompt="0" sourceFile="F:\HEVC_inner_Test\street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streetyuv.ppm_evaluation1" type="6" refreshedVersion="6" background="1" saveData="1">
    <textPr prompt="0" sourceFile="F:\HEVC_inner_Test\street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tatemono.ppm_evaluation" type="6" refreshedVersion="6" background="1" saveData="1">
    <textPr prompt="0" sourceFile="F:\NewCodec\MATLAB-Jpeg-encoder-master-matlabDCT\tatemono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tatemono.ppm_evaluation1" type="6" refreshedVersion="6" background="1" saveData="1">
    <textPr prompt="0" sourceFile="F:\NewCodec\MATLAB-Jpeg-encoder-master-matlabDCT\tatemono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tatemonoyuv.ppm_evaluation" type="6" refreshedVersion="6" background="1" saveData="1">
    <textPr prompt="0" sourceFile="F:\HEVC_inner_Test\tatemono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tatemonoyuv.ppm_evaluation1" type="6" refreshedVersion="6" background="1" saveData="1">
    <textPr prompt="0" sourceFile="F:\HEVC_inner_Test\tatemono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wedding.ppm_evaluation" type="6" refreshedVersion="6" background="1" saveData="1">
    <textPr prompt="0" sourceFile="F:\NewCodec\MATLAB-Jpeg-encoder-master-matlabDCT\wed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wedding.ppm_evaluation1" type="6" refreshedVersion="6" background="1" saveData="1">
    <textPr prompt="0" sourceFile="F:\NewCodec\MATLAB-Jpeg-encoder-master-matlabDCT\wed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wedding_evaluation_411" type="6" refreshedVersion="6" background="1" saveData="1">
    <textPr prompt="0" sourceFile="F:\CodeByLine\TestIPAll\csv411\wed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1" name="wedding_evaluation_4111" type="6" refreshedVersion="6" background="1" saveData="1">
    <textPr prompt="0" sourceFile="F:\CodeByLine\TestIPAll\csv411\wed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wedding_evaluation_4112" type="6" refreshedVersion="6" background="1" saveData="1">
    <textPr prompt="0" sourceFile="F:\CodeByLine\TestIPAll\csv411\wed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wedding_evaluation_422" type="6" refreshedVersion="6" background="1" saveData="1">
    <textPr prompt="0" sourceFile="F:\CodeByLine\TestIPAll\csv422\wed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wedding_evaluation_4221" type="6" refreshedVersion="6" background="1" saveData="1">
    <textPr prompt="0" sourceFile="F:\CodeByLine\TestIPAll\csv422\wed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wedding_evaluation_4222" type="6" refreshedVersion="6" background="1" saveData="1">
    <textPr prompt="0" sourceFile="F:\CodeByLine\TestIPAll\csv422\wed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wedding_evaluation_444" type="6" refreshedVersion="6" background="1" saveData="1">
    <textPr prompt="0" sourceFile="F:\CodeByLine\TestIPAll\csv444\wed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wedding_evaluation_4441" type="6" refreshedVersion="6" background="1" saveData="1">
    <textPr prompt="0" sourceFile="F:\CodeByLine\TestIPAll\csv444\wed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wedding_evaluation_4442" type="6" refreshedVersion="6" background="1" saveData="1">
    <textPr prompt="0" sourceFile="F:\CodeByLine\TestIPAll\csv444\wed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weddingyuv.ppm_evaluation" type="6" refreshedVersion="6" background="1" saveData="1">
    <textPr prompt="0" sourceFile="F:\HEVC_inner_Test\wed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weddingyuv.ppm_evaluation1" type="6" refreshedVersion="6" background="1" saveData="1">
    <textPr prompt="0" sourceFile="F:\HEVC_inner_Test\wed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<sst xmlns="http://schemas.openxmlformats.org/spreadsheetml/2006/main" count="3705" uniqueCount="984">
  <si>
    <t>filename</t>
  </si>
  <si>
    <t>size_KB</t>
  </si>
  <si>
    <t>compress_ratio</t>
  </si>
  <si>
    <t>SNR</t>
  </si>
  <si>
    <t>PSNR</t>
  </si>
  <si>
    <t>SSIM</t>
  </si>
  <si>
    <t>PSNR2MOS</t>
  </si>
  <si>
    <t>SSIM2MOS</t>
  </si>
  <si>
    <t xml:space="preserve">bar/bar_gimp90.ppm </t>
  </si>
  <si>
    <t xml:space="preserve">bar/bar_gimp91.ppm </t>
  </si>
  <si>
    <t xml:space="preserve">bar/bar_gimp92.ppm </t>
  </si>
  <si>
    <t xml:space="preserve">bar/bar_gimp93.ppm </t>
  </si>
  <si>
    <t xml:space="preserve">bar/bar_gimp94.ppm </t>
  </si>
  <si>
    <t xml:space="preserve">bar/bar_gimp95.ppm </t>
  </si>
  <si>
    <t xml:space="preserve">bar/bar_gimp96.ppm </t>
  </si>
  <si>
    <t xml:space="preserve">bar/bar_gimp97.ppm </t>
  </si>
  <si>
    <t xml:space="preserve">bar/bar_gimp98.ppm </t>
  </si>
  <si>
    <t xml:space="preserve">bar/bar_gimp99.ppm </t>
  </si>
  <si>
    <t>bar/bar_gimp100.ppm</t>
  </si>
  <si>
    <t xml:space="preserve">building/building_gimp90.ppm </t>
  </si>
  <si>
    <t xml:space="preserve">building/building_gimp91.ppm </t>
  </si>
  <si>
    <t xml:space="preserve">building/building_gimp92.ppm </t>
  </si>
  <si>
    <t xml:space="preserve">building/building_gimp93.ppm </t>
  </si>
  <si>
    <t xml:space="preserve">building/building_gimp94.ppm </t>
  </si>
  <si>
    <t xml:space="preserve">building/building_gimp95.ppm </t>
  </si>
  <si>
    <t xml:space="preserve">building/building_gimp96.ppm </t>
  </si>
  <si>
    <t xml:space="preserve">building/building_gimp97.ppm </t>
  </si>
  <si>
    <t xml:space="preserve">building/building_gimp98.ppm </t>
  </si>
  <si>
    <t xml:space="preserve">building/building_gimp99.ppm </t>
  </si>
  <si>
    <t>building/building_gimp100.ppm</t>
  </si>
  <si>
    <t xml:space="preserve">character/character_gimp90.ppm </t>
  </si>
  <si>
    <t xml:space="preserve">character/character_gimp91.ppm </t>
  </si>
  <si>
    <t xml:space="preserve">character/character_gimp92.ppm </t>
  </si>
  <si>
    <t xml:space="preserve">character/character_gimp93.ppm </t>
  </si>
  <si>
    <t xml:space="preserve">character/character_gimp94.ppm </t>
  </si>
  <si>
    <t xml:space="preserve">character/character_gimp95.ppm </t>
  </si>
  <si>
    <t xml:space="preserve">character/character_gimp96.ppm </t>
  </si>
  <si>
    <t xml:space="preserve">character/character_gimp97.ppm </t>
  </si>
  <si>
    <t xml:space="preserve">character/character_gimp98.ppm </t>
  </si>
  <si>
    <t xml:space="preserve">character/character_gimp99.ppm </t>
  </si>
  <si>
    <t>character/character_gimp100.ppm</t>
  </si>
  <si>
    <t xml:space="preserve">earth/earth_gimp90.ppm </t>
  </si>
  <si>
    <t xml:space="preserve">earth/earth_gimp91.ppm </t>
  </si>
  <si>
    <t xml:space="preserve">earth/earth_gimp92.ppm </t>
  </si>
  <si>
    <t xml:space="preserve">earth/earth_gimp93.ppm </t>
  </si>
  <si>
    <t xml:space="preserve">earth/earth_gimp94.ppm </t>
  </si>
  <si>
    <t xml:space="preserve">earth/earth_gimp95.ppm </t>
  </si>
  <si>
    <t xml:space="preserve">earth/earth_gimp96.ppm </t>
  </si>
  <si>
    <t xml:space="preserve">earth/earth_gimp97.ppm </t>
  </si>
  <si>
    <t xml:space="preserve">earth/earth_gimp98.ppm </t>
  </si>
  <si>
    <t xml:space="preserve">earth/earth_gimp99.ppm </t>
  </si>
  <si>
    <t>earth/earth_gimp100.ppm</t>
  </si>
  <si>
    <t xml:space="preserve">flower/flower_gimp90.ppm </t>
  </si>
  <si>
    <t xml:space="preserve">flower/flower_gimp91.ppm </t>
  </si>
  <si>
    <t xml:space="preserve">flower/flower_gimp92.ppm </t>
  </si>
  <si>
    <t xml:space="preserve">flower/flower_gimp93.ppm </t>
  </si>
  <si>
    <t xml:space="preserve">flower/flower_gimp94.ppm </t>
  </si>
  <si>
    <t xml:space="preserve">flower/flower_gimp95.ppm </t>
  </si>
  <si>
    <t xml:space="preserve">flower/flower_gimp96.ppm </t>
  </si>
  <si>
    <t xml:space="preserve">flower/flower_gimp97.ppm </t>
  </si>
  <si>
    <t xml:space="preserve">flower/flower_gimp98.ppm </t>
  </si>
  <si>
    <t xml:space="preserve">flower/flower_gimp99.ppm </t>
  </si>
  <si>
    <t>flower/flower_gimp100.ppm</t>
  </si>
  <si>
    <t xml:space="preserve">pcgame/pcgame_gimp90.ppm </t>
  </si>
  <si>
    <t xml:space="preserve">pcgame/pcgame_gimp91.ppm </t>
  </si>
  <si>
    <t xml:space="preserve">pcgame/pcgame_gimp92.ppm </t>
  </si>
  <si>
    <t xml:space="preserve">pcgame/pcgame_gimp93.ppm </t>
  </si>
  <si>
    <t xml:space="preserve">pcgame/pcgame_gimp94.ppm </t>
  </si>
  <si>
    <t xml:space="preserve">pcgame/pcgame_gimp95.ppm </t>
  </si>
  <si>
    <t xml:space="preserve">pcgame/pcgame_gimp96.ppm </t>
  </si>
  <si>
    <t xml:space="preserve">pcgame/pcgame_gimp97.ppm </t>
  </si>
  <si>
    <t xml:space="preserve">pcgame/pcgame_gimp98.ppm </t>
  </si>
  <si>
    <t xml:space="preserve">pcgame/pcgame_gimp99.ppm </t>
  </si>
  <si>
    <t>pcgame/pcgame_gimp100.ppm</t>
  </si>
  <si>
    <t xml:space="preserve">pc_desktop/pc_desktop_gimp90.ppm </t>
  </si>
  <si>
    <t xml:space="preserve">pc_desktop/pc_desktop_gimp91.ppm </t>
  </si>
  <si>
    <t xml:space="preserve">pc_desktop/pc_desktop_gimp92.ppm </t>
  </si>
  <si>
    <t xml:space="preserve">pc_desktop/pc_desktop_gimp93.ppm </t>
  </si>
  <si>
    <t xml:space="preserve">pc_desktop/pc_desktop_gimp94.ppm </t>
  </si>
  <si>
    <t xml:space="preserve">pc_desktop/pc_desktop_gimp95.ppm </t>
  </si>
  <si>
    <t xml:space="preserve">pc_desktop/pc_desktop_gimp96.ppm </t>
  </si>
  <si>
    <t xml:space="preserve">pc_desktop/pc_desktop_gimp97.ppm </t>
  </si>
  <si>
    <t xml:space="preserve">pc_desktop/pc_desktop_gimp98.ppm </t>
  </si>
  <si>
    <t xml:space="preserve">pc_desktop/pc_desktop_gimp99.ppm </t>
  </si>
  <si>
    <t>pc_desktop/pc_desktop_gimp100.ppm</t>
  </si>
  <si>
    <t xml:space="preserve">shop/shop_gimp90.ppm </t>
  </si>
  <si>
    <t xml:space="preserve">shop/shop_gimp91.ppm </t>
  </si>
  <si>
    <t xml:space="preserve">shop/shop_gimp92.ppm </t>
  </si>
  <si>
    <t xml:space="preserve">shop/shop_gimp93.ppm </t>
  </si>
  <si>
    <t xml:space="preserve">shop/shop_gimp94.ppm </t>
  </si>
  <si>
    <t xml:space="preserve">shop/shop_gimp95.ppm </t>
  </si>
  <si>
    <t xml:space="preserve">shop/shop_gimp96.ppm </t>
  </si>
  <si>
    <t xml:space="preserve">shop/shop_gimp97.ppm </t>
  </si>
  <si>
    <t xml:space="preserve">shop/shop_gimp98.ppm </t>
  </si>
  <si>
    <t xml:space="preserve">shop/shop_gimp99.ppm </t>
  </si>
  <si>
    <t>shop/shop_gimp100.ppm</t>
  </si>
  <si>
    <t xml:space="preserve">street/street_gimp90.ppm </t>
  </si>
  <si>
    <t xml:space="preserve">street/street_gimp91.ppm </t>
  </si>
  <si>
    <t xml:space="preserve">street/street_gimp92.ppm </t>
  </si>
  <si>
    <t xml:space="preserve">street/street_gimp93.ppm </t>
  </si>
  <si>
    <t xml:space="preserve">street/street_gimp94.ppm </t>
  </si>
  <si>
    <t xml:space="preserve">street/street_gimp95.ppm </t>
  </si>
  <si>
    <t xml:space="preserve">street/street_gimp96.ppm </t>
  </si>
  <si>
    <t xml:space="preserve">street/street_gimp97.ppm </t>
  </si>
  <si>
    <t xml:space="preserve">street/street_gimp98.ppm </t>
  </si>
  <si>
    <t xml:space="preserve">street/street_gimp99.ppm </t>
  </si>
  <si>
    <t>street/street_gimp100.ppm</t>
  </si>
  <si>
    <t xml:space="preserve">wedding/wedding_gimp90.ppm </t>
  </si>
  <si>
    <t xml:space="preserve">wedding/wedding_gimp91.ppm </t>
  </si>
  <si>
    <t xml:space="preserve">wedding/wedding_gimp92.ppm </t>
  </si>
  <si>
    <t xml:space="preserve">wedding/wedding_gimp93.ppm </t>
  </si>
  <si>
    <t xml:space="preserve">wedding/wedding_gimp94.ppm </t>
  </si>
  <si>
    <t xml:space="preserve">wedding/wedding_gimp95.ppm </t>
  </si>
  <si>
    <t xml:space="preserve">wedding/wedding_gimp96.ppm </t>
  </si>
  <si>
    <t xml:space="preserve">wedding/wedding_gimp97.ppm </t>
  </si>
  <si>
    <t xml:space="preserve">wedding/wedding_gimp98.ppm </t>
  </si>
  <si>
    <t xml:space="preserve">wedding/wedding_gimp99.ppm </t>
  </si>
  <si>
    <t>wedding/wedding_gimp100.ppm</t>
  </si>
  <si>
    <t>图片</t>
    <phoneticPr fontId="1" type="noConversion"/>
  </si>
  <si>
    <t>降采样</t>
    <phoneticPr fontId="1" type="noConversion"/>
  </si>
  <si>
    <t>量化表</t>
    <phoneticPr fontId="1" type="noConversion"/>
  </si>
  <si>
    <t xml:space="preserve">bar/bar_gimp90.ppm </t>
    <phoneticPr fontId="1" type="noConversion"/>
  </si>
  <si>
    <t>bar.ppm90.jpg</t>
  </si>
  <si>
    <t>bar.ppm91.jpg</t>
  </si>
  <si>
    <t>bar.ppm92.jpg</t>
  </si>
  <si>
    <t>bar.ppm93.jpg</t>
  </si>
  <si>
    <t>bar.ppm94.jpg</t>
  </si>
  <si>
    <t>bar.ppm95.jpg</t>
  </si>
  <si>
    <t>bar.ppm96.jpg</t>
  </si>
  <si>
    <t>bar.ppm97.jpg</t>
  </si>
  <si>
    <t>bar.ppm98.jpg</t>
  </si>
  <si>
    <t>bar.ppm99.jpg</t>
  </si>
  <si>
    <t>bar.ppm100.jpg</t>
  </si>
  <si>
    <t>building.ppm90.jpg</t>
  </si>
  <si>
    <t>building.ppm91.jpg</t>
  </si>
  <si>
    <t>building.ppm92.jpg</t>
  </si>
  <si>
    <t>building.ppm93.jpg</t>
  </si>
  <si>
    <t>building.ppm94.jpg</t>
  </si>
  <si>
    <t>building.ppm95.jpg</t>
  </si>
  <si>
    <t>building.ppm96.jpg</t>
  </si>
  <si>
    <t>building.ppm97.jpg</t>
  </si>
  <si>
    <t>building.ppm98.jpg</t>
  </si>
  <si>
    <t>building.ppm99.jpg</t>
  </si>
  <si>
    <t>building.ppm100.jpg</t>
  </si>
  <si>
    <t>earth.ppm90.jpg</t>
  </si>
  <si>
    <t>earth.ppm91.jpg</t>
  </si>
  <si>
    <t>earth.ppm92.jpg</t>
  </si>
  <si>
    <t>earth.ppm93.jpg</t>
  </si>
  <si>
    <t>earth.ppm94.jpg</t>
  </si>
  <si>
    <t>earth.ppm95.jpg</t>
  </si>
  <si>
    <t>earth.ppm96.jpg</t>
  </si>
  <si>
    <t>earth.ppm97.jpg</t>
  </si>
  <si>
    <t>earth.ppm98.jpg</t>
  </si>
  <si>
    <t>earth.ppm99.jpg</t>
  </si>
  <si>
    <t>earth.ppm100.jpg</t>
  </si>
  <si>
    <t>方式</t>
    <phoneticPr fontId="1" type="noConversion"/>
  </si>
  <si>
    <t>传统jpeg</t>
    <phoneticPr fontId="1" type="noConversion"/>
  </si>
  <si>
    <t>bar1072.ppm90downsample.jpg</t>
  </si>
  <si>
    <t>bar1072.ppm91downsample.jpg</t>
  </si>
  <si>
    <t>bar1072.ppm92downsample.jpg</t>
  </si>
  <si>
    <t>bar1072.ppm93downsample.jpg</t>
  </si>
  <si>
    <t>bar1072.ppm94downsample.jpg</t>
  </si>
  <si>
    <t>bar1072.ppm95downsample.jpg</t>
  </si>
  <si>
    <t>bar1072.ppm96downsample.jpg</t>
  </si>
  <si>
    <t>bar1072.ppm97downsample.jpg</t>
  </si>
  <si>
    <t>bar1072.ppm98downsample.jpg</t>
  </si>
  <si>
    <t>bar1072.ppm99downsample.jpg</t>
  </si>
  <si>
    <t>bar1072.ppm100downsample.jpg</t>
  </si>
  <si>
    <t>building1072.ppm90downsample.jpg</t>
  </si>
  <si>
    <t>building1072.ppm91downsample.jpg</t>
  </si>
  <si>
    <t>building1072.ppm92downsample.jpg</t>
  </si>
  <si>
    <t>building1072.ppm93downsample.jpg</t>
  </si>
  <si>
    <t>building1072.ppm94downsample.jpg</t>
  </si>
  <si>
    <t>building1072.ppm95downsample.jpg</t>
  </si>
  <si>
    <t>building1072.ppm96downsample.jpg</t>
  </si>
  <si>
    <t>building1072.ppm97downsample.jpg</t>
  </si>
  <si>
    <t>building1072.ppm98downsample.jpg</t>
  </si>
  <si>
    <t>building1072.ppm99downsample.jpg</t>
  </si>
  <si>
    <t>building1072.ppm100downsample.jpg</t>
  </si>
  <si>
    <t>earth1072.ppm90downsample.jpg</t>
  </si>
  <si>
    <t>earth1072.ppm91downsample.jpg</t>
  </si>
  <si>
    <t>earth1072.ppm92downsample.jpg</t>
  </si>
  <si>
    <t>earth1072.ppm93downsample.jpg</t>
  </si>
  <si>
    <t>earth1072.ppm94downsample.jpg</t>
  </si>
  <si>
    <t>earth1072.ppm95downsample.jpg</t>
  </si>
  <si>
    <t>earth1072.ppm96downsample.jpg</t>
  </si>
  <si>
    <t>earth1072.ppm97downsample.jpg</t>
  </si>
  <si>
    <t>earth1072.ppm98downsample.jpg</t>
  </si>
  <si>
    <t>earth1072.ppm99downsample.jpg</t>
  </si>
  <si>
    <t>earth1072.ppm100downsample.jpg</t>
  </si>
  <si>
    <t>编码四分一其余简单推测</t>
    <phoneticPr fontId="1" type="noConversion"/>
  </si>
  <si>
    <t>bar.ppm2singleline_predicate.jpg</t>
  </si>
  <si>
    <t>bar.ppm3singleline_predicate.jpg</t>
  </si>
  <si>
    <t>bar.ppm4singleline_predicate.jpg</t>
  </si>
  <si>
    <t>bar.ppm5singleline_predicate.jpg</t>
  </si>
  <si>
    <t>bar.ppm6singleline_predicate.jpg</t>
  </si>
  <si>
    <t>bar.ppm7singleline_predicate.jpg</t>
  </si>
  <si>
    <t>bar.ppm8singleline_predicate.jpg</t>
  </si>
  <si>
    <t>building.ppm2singleline_predicate.jpg</t>
  </si>
  <si>
    <t>building.ppm3singleline_predicate.jpg</t>
  </si>
  <si>
    <t>building.ppm4singleline_predicate.jpg</t>
  </si>
  <si>
    <t>building.ppm5singleline_predicate.jpg</t>
  </si>
  <si>
    <t>building.ppm6singleline_predicate.jpg</t>
  </si>
  <si>
    <t>building.ppm7singleline_predicate.jpg</t>
  </si>
  <si>
    <t>building.ppm8singleline_predicate.jpg</t>
  </si>
  <si>
    <t>earth.ppm2singleline_predicate.jpg</t>
  </si>
  <si>
    <t>earth.ppm3singleline_predicate.jpg</t>
  </si>
  <si>
    <t>earth.ppm4singleline_predicate.jpg</t>
  </si>
  <si>
    <t>earth.ppm5singleline_predicate.jpg</t>
  </si>
  <si>
    <t>earth.ppm6singleline_predicate.jpg</t>
  </si>
  <si>
    <t>earth.ppm7singleline_predicate.jpg</t>
  </si>
  <si>
    <t>earth.ppm8singleline_predicate.jpg</t>
  </si>
  <si>
    <t>行残差嵌入解码</t>
    <phoneticPr fontId="1" type="noConversion"/>
  </si>
  <si>
    <t>残差量化值</t>
    <phoneticPr fontId="1" type="noConversion"/>
  </si>
  <si>
    <t>character.ppm90.jpg</t>
  </si>
  <si>
    <t>character.ppm91.jpg</t>
  </si>
  <si>
    <t>character.ppm92.jpg</t>
  </si>
  <si>
    <t>character.ppm93.jpg</t>
  </si>
  <si>
    <t>character.ppm94.jpg</t>
  </si>
  <si>
    <t>character.ppm95.jpg</t>
  </si>
  <si>
    <t>flower.ppm90.jpg</t>
  </si>
  <si>
    <t>flower.ppm91.jpg</t>
  </si>
  <si>
    <t>flower.ppm92.jpg</t>
  </si>
  <si>
    <t>flower.ppm93.jpg</t>
  </si>
  <si>
    <t>flower.ppm94.jpg</t>
  </si>
  <si>
    <t>flower.ppm95.jpg</t>
  </si>
  <si>
    <t>shop.ppm90.jpg</t>
  </si>
  <si>
    <t>shop.ppm91.jpg</t>
  </si>
  <si>
    <t>shop.ppm92.jpg</t>
  </si>
  <si>
    <t>shop.ppm93.jpg</t>
  </si>
  <si>
    <t>shop.ppm94.jpg</t>
  </si>
  <si>
    <t>shop.ppm95.jpg</t>
  </si>
  <si>
    <t>bar.ppm_10.h265</t>
  </si>
  <si>
    <t>bar.ppm_11.h265</t>
  </si>
  <si>
    <t>bar.ppm_12.h265</t>
  </si>
  <si>
    <t>bar.ppm_13.h265</t>
  </si>
  <si>
    <t>bar.ppm_14.h265</t>
  </si>
  <si>
    <t>bar.ppm_15.h265</t>
  </si>
  <si>
    <t>bar.ppm_16.h265</t>
  </si>
  <si>
    <t>bar.ppm_17.h265</t>
  </si>
  <si>
    <t>bar.ppm_18.h265</t>
  </si>
  <si>
    <t>bar.ppm_19.h265</t>
  </si>
  <si>
    <t>bar.ppm_20.h265</t>
  </si>
  <si>
    <t>bar.ppm_21.h265</t>
  </si>
  <si>
    <t>bar.ppm_22.h265</t>
  </si>
  <si>
    <t>bar.ppm_23.h265</t>
  </si>
  <si>
    <t>bar.ppm_24.h265</t>
  </si>
  <si>
    <t>bar.ppm_25.h265</t>
  </si>
  <si>
    <t>building.ppm_10.h265</t>
  </si>
  <si>
    <t>building.ppm_11.h265</t>
  </si>
  <si>
    <t>building.ppm_12.h265</t>
  </si>
  <si>
    <t>building.ppm_13.h265</t>
  </si>
  <si>
    <t>building.ppm_14.h265</t>
  </si>
  <si>
    <t>building.ppm_15.h265</t>
  </si>
  <si>
    <t>building.ppm_16.h265</t>
  </si>
  <si>
    <t>building.ppm_17.h265</t>
  </si>
  <si>
    <t>building.ppm_18.h265</t>
  </si>
  <si>
    <t>building.ppm_19.h265</t>
  </si>
  <si>
    <t>building.ppm_20.h265</t>
  </si>
  <si>
    <t>building.ppm_21.h265</t>
  </si>
  <si>
    <t>building.ppm_22.h265</t>
  </si>
  <si>
    <t>building.ppm_23.h265</t>
  </si>
  <si>
    <t>building.ppm_24.h265</t>
  </si>
  <si>
    <t>building.ppm_25.h265</t>
  </si>
  <si>
    <t>character.ppm_10.h265</t>
  </si>
  <si>
    <t>character.ppm_11.h265</t>
  </si>
  <si>
    <t>character.ppm_12.h265</t>
  </si>
  <si>
    <t>character.ppm_13.h265</t>
  </si>
  <si>
    <t>character.ppm_14.h265</t>
  </si>
  <si>
    <t>character.ppm_15.h265</t>
  </si>
  <si>
    <t>character.ppm_16.h265</t>
  </si>
  <si>
    <t>character.ppm_17.h265</t>
  </si>
  <si>
    <t>character.ppm_18.h265</t>
  </si>
  <si>
    <t>character.ppm_19.h265</t>
  </si>
  <si>
    <t>character.ppm_20.h265</t>
  </si>
  <si>
    <t>character.ppm_21.h265</t>
  </si>
  <si>
    <t>character.ppm_22.h265</t>
  </si>
  <si>
    <t>character.ppm_23.h265</t>
  </si>
  <si>
    <t>character.ppm_24.h265</t>
  </si>
  <si>
    <t>character.ppm_25.h265</t>
  </si>
  <si>
    <t>earth.ppm_10.h265</t>
  </si>
  <si>
    <t>earth.ppm_11.h265</t>
  </si>
  <si>
    <t>earth.ppm_12.h265</t>
  </si>
  <si>
    <t>earth.ppm_13.h265</t>
  </si>
  <si>
    <t>earth.ppm_14.h265</t>
  </si>
  <si>
    <t>earth.ppm_15.h265</t>
  </si>
  <si>
    <t>earth.ppm_16.h265</t>
  </si>
  <si>
    <t>earth.ppm_17.h265</t>
  </si>
  <si>
    <t>earth.ppm_18.h265</t>
  </si>
  <si>
    <t>earth.ppm_19.h265</t>
  </si>
  <si>
    <t>earth.ppm_20.h265</t>
  </si>
  <si>
    <t>earth.ppm_21.h265</t>
  </si>
  <si>
    <t>earth.ppm_22.h265</t>
  </si>
  <si>
    <t>earth.ppm_23.h265</t>
  </si>
  <si>
    <t>earth.ppm_24.h265</t>
  </si>
  <si>
    <t>earth.ppm_25.h265</t>
  </si>
  <si>
    <t>flower.ppm_10.h265</t>
  </si>
  <si>
    <t>flower.ppm_11.h265</t>
  </si>
  <si>
    <t>flower.ppm_12.h265</t>
  </si>
  <si>
    <t>flower.ppm_13.h265</t>
  </si>
  <si>
    <t>flower.ppm_14.h265</t>
  </si>
  <si>
    <t>flower.ppm_15.h265</t>
  </si>
  <si>
    <t>flower.ppm_16.h265</t>
  </si>
  <si>
    <t>flower.ppm_17.h265</t>
  </si>
  <si>
    <t>flower.ppm_18.h265</t>
  </si>
  <si>
    <t>flower.ppm_19.h265</t>
  </si>
  <si>
    <t>flower.ppm_20.h265</t>
  </si>
  <si>
    <t>flower.ppm_21.h265</t>
  </si>
  <si>
    <t>flower.ppm_22.h265</t>
  </si>
  <si>
    <t>flower.ppm_23.h265</t>
  </si>
  <si>
    <t>flower.ppm_24.h265</t>
  </si>
  <si>
    <t>flower.ppm_25.h265</t>
  </si>
  <si>
    <t>shop.ppm_10.h265</t>
  </si>
  <si>
    <t>shop.ppm_11.h265</t>
  </si>
  <si>
    <t>shop.ppm_12.h265</t>
  </si>
  <si>
    <t>shop.ppm_13.h265</t>
  </si>
  <si>
    <t>shop.ppm_14.h265</t>
  </si>
  <si>
    <t>shop.ppm_15.h265</t>
  </si>
  <si>
    <t>shop.ppm_16.h265</t>
  </si>
  <si>
    <t>shop.ppm_17.h265</t>
  </si>
  <si>
    <t>shop.ppm_18.h265</t>
  </si>
  <si>
    <t>shop.ppm_19.h265</t>
  </si>
  <si>
    <t>shop.ppm_20.h265</t>
  </si>
  <si>
    <t>shop.ppm_21.h265</t>
  </si>
  <si>
    <t>shop.ppm_22.h265</t>
  </si>
  <si>
    <t>shop.ppm_23.h265</t>
  </si>
  <si>
    <t>shop.ppm_24.h265</t>
  </si>
  <si>
    <t>shop.ppm_25.h265</t>
  </si>
  <si>
    <t>PSNR</t>
    <phoneticPr fontId="1" type="noConversion"/>
  </si>
  <si>
    <t>ratio</t>
    <phoneticPr fontId="1" type="noConversion"/>
  </si>
  <si>
    <t>参数</t>
    <phoneticPr fontId="1" type="noConversion"/>
  </si>
  <si>
    <t>90 6</t>
    <phoneticPr fontId="1" type="noConversion"/>
  </si>
  <si>
    <t>SIZE</t>
    <phoneticPr fontId="1" type="noConversion"/>
  </si>
  <si>
    <t>90 4</t>
    <phoneticPr fontId="1" type="noConversion"/>
  </si>
  <si>
    <t>80 4</t>
    <phoneticPr fontId="1" type="noConversion"/>
  </si>
  <si>
    <t>90 3</t>
    <phoneticPr fontId="1" type="noConversion"/>
  </si>
  <si>
    <t>90 5</t>
    <phoneticPr fontId="1" type="noConversion"/>
  </si>
  <si>
    <t>90 7</t>
    <phoneticPr fontId="1" type="noConversion"/>
  </si>
  <si>
    <t>90 8</t>
    <phoneticPr fontId="1" type="noConversion"/>
  </si>
  <si>
    <t>90 9</t>
    <phoneticPr fontId="1" type="noConversion"/>
  </si>
  <si>
    <t>90 10</t>
    <phoneticPr fontId="1" type="noConversion"/>
  </si>
  <si>
    <t>90 11</t>
    <phoneticPr fontId="1" type="noConversion"/>
  </si>
  <si>
    <t>baryuv.ppm_10.h265</t>
  </si>
  <si>
    <t>baryuv.ppm_11.h265</t>
  </si>
  <si>
    <t>baryuv.ppm_12.h265</t>
  </si>
  <si>
    <t>baryuv.ppm_13.h265</t>
  </si>
  <si>
    <t>baryuv.ppm_14.h265</t>
  </si>
  <si>
    <t>baryuv.ppm_15.h265</t>
  </si>
  <si>
    <t>baryuv.ppm_16.h265</t>
  </si>
  <si>
    <t>baryuv.ppm_17.h265</t>
  </si>
  <si>
    <t>baryuv.ppm_18.h265</t>
  </si>
  <si>
    <t>baryuv.ppm_19.h265</t>
  </si>
  <si>
    <t>baryuv.ppm_20.h265</t>
  </si>
  <si>
    <t>baryuv.ppm_21.h265</t>
  </si>
  <si>
    <t>baryuv.ppm_22.h265</t>
  </si>
  <si>
    <t>baryuv.ppm_23.h265</t>
  </si>
  <si>
    <t>baryuv.ppm_24.h265</t>
  </si>
  <si>
    <t>baryuv.ppm_25.h265</t>
  </si>
  <si>
    <t>buildingyuv.ppm_10.h265</t>
  </si>
  <si>
    <t>buildingyuv.ppm_11.h265</t>
  </si>
  <si>
    <t>buildingyuv.ppm_12.h265</t>
  </si>
  <si>
    <t>buildingyuv.ppm_13.h265</t>
  </si>
  <si>
    <t>buildingyuv.ppm_14.h265</t>
  </si>
  <si>
    <t>buildingyuv.ppm_15.h265</t>
  </si>
  <si>
    <t>buildingyuv.ppm_16.h265</t>
  </si>
  <si>
    <t>buildingyuv.ppm_17.h265</t>
  </si>
  <si>
    <t>buildingyuv.ppm_18.h265</t>
  </si>
  <si>
    <t>buildingyuv.ppm_19.h265</t>
  </si>
  <si>
    <t>buildingyuv.ppm_20.h265</t>
  </si>
  <si>
    <t>buildingyuv.ppm_21.h265</t>
  </si>
  <si>
    <t>buildingyuv.ppm_22.h265</t>
  </si>
  <si>
    <t>buildingyuv.ppm_23.h265</t>
  </si>
  <si>
    <t>buildingyuv.ppm_24.h265</t>
  </si>
  <si>
    <t>buildingyuv.ppm_25.h265</t>
  </si>
  <si>
    <t>characteryuv.ppm_10.h265</t>
  </si>
  <si>
    <t>characteryuv.ppm_11.h265</t>
  </si>
  <si>
    <t>characteryuv.ppm_12.h265</t>
  </si>
  <si>
    <t>characteryuv.ppm_13.h265</t>
  </si>
  <si>
    <t>characteryuv.ppm_14.h265</t>
  </si>
  <si>
    <t>characteryuv.ppm_15.h265</t>
  </si>
  <si>
    <t>characteryuv.ppm_16.h265</t>
  </si>
  <si>
    <t>characteryuv.ppm_17.h265</t>
  </si>
  <si>
    <t>characteryuv.ppm_18.h265</t>
  </si>
  <si>
    <t>characteryuv.ppm_19.h265</t>
  </si>
  <si>
    <t>characteryuv.ppm_20.h265</t>
  </si>
  <si>
    <t>characteryuv.ppm_21.h265</t>
  </si>
  <si>
    <t>characteryuv.ppm_22.h265</t>
  </si>
  <si>
    <t>characteryuv.ppm_23.h265</t>
  </si>
  <si>
    <t>characteryuv.ppm_24.h265</t>
  </si>
  <si>
    <t>characteryuv.ppm_25.h265</t>
  </si>
  <si>
    <t>earthyuv.ppm_10.h265</t>
  </si>
  <si>
    <t>earthyuv.ppm_11.h265</t>
  </si>
  <si>
    <t>earthyuv.ppm_12.h265</t>
  </si>
  <si>
    <t>earthyuv.ppm_13.h265</t>
  </si>
  <si>
    <t>earthyuv.ppm_14.h265</t>
  </si>
  <si>
    <t>earthyuv.ppm_15.h265</t>
  </si>
  <si>
    <t>earthyuv.ppm_16.h265</t>
  </si>
  <si>
    <t>earthyuv.ppm_17.h265</t>
  </si>
  <si>
    <t>earthyuv.ppm_18.h265</t>
  </si>
  <si>
    <t>earthyuv.ppm_19.h265</t>
  </si>
  <si>
    <t>earthyuv.ppm_20.h265</t>
  </si>
  <si>
    <t>earthyuv.ppm_21.h265</t>
  </si>
  <si>
    <t>earthyuv.ppm_22.h265</t>
  </si>
  <si>
    <t>earthyuv.ppm_23.h265</t>
  </si>
  <si>
    <t>earthyuv.ppm_24.h265</t>
  </si>
  <si>
    <t>earthyuv.ppm_25.h265</t>
  </si>
  <si>
    <t>floweryuv.ppm_10.h265</t>
  </si>
  <si>
    <t>floweryuv.ppm_11.h265</t>
  </si>
  <si>
    <t>floweryuv.ppm_12.h265</t>
  </si>
  <si>
    <t>floweryuv.ppm_13.h265</t>
  </si>
  <si>
    <t>floweryuv.ppm_14.h265</t>
  </si>
  <si>
    <t>floweryuv.ppm_15.h265</t>
  </si>
  <si>
    <t>floweryuv.ppm_16.h265</t>
  </si>
  <si>
    <t>floweryuv.ppm_17.h265</t>
  </si>
  <si>
    <t>floweryuv.ppm_18.h265</t>
  </si>
  <si>
    <t>floweryuv.ppm_19.h265</t>
  </si>
  <si>
    <t>floweryuv.ppm_20.h265</t>
  </si>
  <si>
    <t>floweryuv.ppm_21.h265</t>
  </si>
  <si>
    <t>floweryuv.ppm_22.h265</t>
  </si>
  <si>
    <t>floweryuv.ppm_23.h265</t>
  </si>
  <si>
    <t>floweryuv.ppm_24.h265</t>
  </si>
  <si>
    <t>floweryuv.ppm_25.h265</t>
  </si>
  <si>
    <t>shopyuv.ppm_10.h265</t>
  </si>
  <si>
    <t>shopyuv.ppm_11.h265</t>
  </si>
  <si>
    <t>shopyuv.ppm_12.h265</t>
  </si>
  <si>
    <t>shopyuv.ppm_13.h265</t>
  </si>
  <si>
    <t>shopyuv.ppm_14.h265</t>
  </si>
  <si>
    <t>shopyuv.ppm_15.h265</t>
  </si>
  <si>
    <t>shopyuv.ppm_16.h265</t>
  </si>
  <si>
    <t>shopyuv.ppm_17.h265</t>
  </si>
  <si>
    <t>shopyuv.ppm_18.h265</t>
  </si>
  <si>
    <t>shopyuv.ppm_19.h265</t>
  </si>
  <si>
    <t>shopyuv.ppm_20.h265</t>
  </si>
  <si>
    <t>shopyuv.ppm_21.h265</t>
  </si>
  <si>
    <t>shopyuv.ppm_22.h265</t>
  </si>
  <si>
    <t>shopyuv.ppm_23.h265</t>
  </si>
  <si>
    <t>shopyuv.ppm_24.h265</t>
  </si>
  <si>
    <t>shopyuv.ppm_25.h265</t>
  </si>
  <si>
    <t>bottleyuv.ppm_10.h265</t>
  </si>
  <si>
    <t>bottleyuv.ppm_11.h265</t>
  </si>
  <si>
    <t>bottleyuv.ppm_12.h265</t>
  </si>
  <si>
    <t>bottleyuv.ppm_13.h265</t>
  </si>
  <si>
    <t>bottleyuv.ppm_14.h265</t>
  </si>
  <si>
    <t>bottleyuv.ppm_15.h265</t>
  </si>
  <si>
    <t>bottleyuv.ppm_16.h265</t>
  </si>
  <si>
    <t>bottleyuv.ppm_17.h265</t>
  </si>
  <si>
    <t>bottleyuv.ppm_18.h265</t>
  </si>
  <si>
    <t>bottleyuv.ppm_19.h265</t>
  </si>
  <si>
    <t>bottleyuv.ppm_20.h265</t>
  </si>
  <si>
    <t>bottleyuv.ppm_21.h265</t>
  </si>
  <si>
    <t>bottleyuv.ppm_22.h265</t>
  </si>
  <si>
    <t>bottleyuv.ppm_23.h265</t>
  </si>
  <si>
    <t>bottleyuv.ppm_24.h265</t>
  </si>
  <si>
    <t>bottleyuv.ppm_25.h265</t>
  </si>
  <si>
    <t>camerayuv.ppm_10.h265</t>
  </si>
  <si>
    <t>camerayuv.ppm_11.h265</t>
  </si>
  <si>
    <t>camerayuv.ppm_12.h265</t>
  </si>
  <si>
    <t>camerayuv.ppm_13.h265</t>
  </si>
  <si>
    <t>camerayuv.ppm_14.h265</t>
  </si>
  <si>
    <t>camerayuv.ppm_15.h265</t>
  </si>
  <si>
    <t>camerayuv.ppm_16.h265</t>
  </si>
  <si>
    <t>camerayuv.ppm_17.h265</t>
  </si>
  <si>
    <t>camerayuv.ppm_18.h265</t>
  </si>
  <si>
    <t>camerayuv.ppm_19.h265</t>
  </si>
  <si>
    <t>camerayuv.ppm_20.h265</t>
  </si>
  <si>
    <t>camerayuv.ppm_21.h265</t>
  </si>
  <si>
    <t>camerayuv.ppm_22.h265</t>
  </si>
  <si>
    <t>camerayuv.ppm_23.h265</t>
  </si>
  <si>
    <t>camerayuv.ppm_24.h265</t>
  </si>
  <si>
    <t>camerayuv.ppm_25.h265</t>
  </si>
  <si>
    <t>deskchairyuv.ppm_10.h265</t>
  </si>
  <si>
    <t>deskchairyuv.ppm_11.h265</t>
  </si>
  <si>
    <t>deskchairyuv.ppm_12.h265</t>
  </si>
  <si>
    <t>deskchairyuv.ppm_13.h265</t>
  </si>
  <si>
    <t>deskchairyuv.ppm_14.h265</t>
  </si>
  <si>
    <t>deskchairyuv.ppm_15.h265</t>
  </si>
  <si>
    <t>deskchairyuv.ppm_16.h265</t>
  </si>
  <si>
    <t>deskchairyuv.ppm_17.h265</t>
  </si>
  <si>
    <t>deskchairyuv.ppm_18.h265</t>
  </si>
  <si>
    <t>deskchairyuv.ppm_19.h265</t>
  </si>
  <si>
    <t>deskchairyuv.ppm_20.h265</t>
  </si>
  <si>
    <t>deskchairyuv.ppm_21.h265</t>
  </si>
  <si>
    <t>deskchairyuv.ppm_22.h265</t>
  </si>
  <si>
    <t>deskchairyuv.ppm_23.h265</t>
  </si>
  <si>
    <t>deskchairyuv.ppm_24.h265</t>
  </si>
  <si>
    <t>deskchairyuv.ppm_25.h265</t>
  </si>
  <si>
    <t>kitchenyuv.ppm_10.h265</t>
  </si>
  <si>
    <t>kitchenyuv.ppm_11.h265</t>
  </si>
  <si>
    <t>kitchenyuv.ppm_12.h265</t>
  </si>
  <si>
    <t>kitchenyuv.ppm_13.h265</t>
  </si>
  <si>
    <t>kitchenyuv.ppm_14.h265</t>
  </si>
  <si>
    <t>kitchenyuv.ppm_15.h265</t>
  </si>
  <si>
    <t>kitchenyuv.ppm_16.h265</t>
  </si>
  <si>
    <t>kitchenyuv.ppm_17.h265</t>
  </si>
  <si>
    <t>kitchenyuv.ppm_18.h265</t>
  </si>
  <si>
    <t>kitchenyuv.ppm_19.h265</t>
  </si>
  <si>
    <t>kitchenyuv.ppm_20.h265</t>
  </si>
  <si>
    <t>kitchenyuv.ppm_21.h265</t>
  </si>
  <si>
    <t>kitchenyuv.ppm_22.h265</t>
  </si>
  <si>
    <t>kitchenyuv.ppm_23.h265</t>
  </si>
  <si>
    <t>kitchenyuv.ppm_24.h265</t>
  </si>
  <si>
    <t>kitchenyuv.ppm_25.h265</t>
  </si>
  <si>
    <t>lemonyuv.ppm_10.h265</t>
  </si>
  <si>
    <t>lemonyuv.ppm_11.h265</t>
  </si>
  <si>
    <t>lemonyuv.ppm_12.h265</t>
  </si>
  <si>
    <t>lemonyuv.ppm_13.h265</t>
  </si>
  <si>
    <t>lemonyuv.ppm_14.h265</t>
  </si>
  <si>
    <t>lemonyuv.ppm_15.h265</t>
  </si>
  <si>
    <t>lemonyuv.ppm_16.h265</t>
  </si>
  <si>
    <t>lemonyuv.ppm_17.h265</t>
  </si>
  <si>
    <t>lemonyuv.ppm_18.h265</t>
  </si>
  <si>
    <t>lemonyuv.ppm_19.h265</t>
  </si>
  <si>
    <t>lemonyuv.ppm_20.h265</t>
  </si>
  <si>
    <t>lemonyuv.ppm_21.h265</t>
  </si>
  <si>
    <t>lemonyuv.ppm_22.h265</t>
  </si>
  <si>
    <t>lemonyuv.ppm_23.h265</t>
  </si>
  <si>
    <t>lemonyuv.ppm_24.h265</t>
  </si>
  <si>
    <t>lemonyuv.ppm_25.h265</t>
  </si>
  <si>
    <t>pcgameyuv.ppm_10.h265</t>
  </si>
  <si>
    <t>pcgameyuv.ppm_11.h265</t>
  </si>
  <si>
    <t>pcgameyuv.ppm_12.h265</t>
  </si>
  <si>
    <t>pcgameyuv.ppm_13.h265</t>
  </si>
  <si>
    <t>pcgameyuv.ppm_14.h265</t>
  </si>
  <si>
    <t>pcgameyuv.ppm_15.h265</t>
  </si>
  <si>
    <t>pcgameyuv.ppm_16.h265</t>
  </si>
  <si>
    <t>pcgameyuv.ppm_17.h265</t>
  </si>
  <si>
    <t>pcgameyuv.ppm_18.h265</t>
  </si>
  <si>
    <t>pcgameyuv.ppm_19.h265</t>
  </si>
  <si>
    <t>pcgameyuv.ppm_20.h265</t>
  </si>
  <si>
    <t>pcgameyuv.ppm_21.h265</t>
  </si>
  <si>
    <t>pcgameyuv.ppm_22.h265</t>
  </si>
  <si>
    <t>pcgameyuv.ppm_23.h265</t>
  </si>
  <si>
    <t>pcgameyuv.ppm_24.h265</t>
  </si>
  <si>
    <t>pcgameyuv.ppm_25.h265</t>
  </si>
  <si>
    <t>pc_desktopyuv.ppm_10.h265</t>
  </si>
  <si>
    <t>pc_desktopyuv.ppm_11.h265</t>
  </si>
  <si>
    <t>pc_desktopyuv.ppm_12.h265</t>
  </si>
  <si>
    <t>pc_desktopyuv.ppm_13.h265</t>
  </si>
  <si>
    <t>pc_desktopyuv.ppm_14.h265</t>
  </si>
  <si>
    <t>pc_desktopyuv.ppm_15.h265</t>
  </si>
  <si>
    <t>pc_desktopyuv.ppm_16.h265</t>
  </si>
  <si>
    <t>pc_desktopyuv.ppm_17.h265</t>
  </si>
  <si>
    <t>pc_desktopyuv.ppm_18.h265</t>
  </si>
  <si>
    <t>pc_desktopyuv.ppm_19.h265</t>
  </si>
  <si>
    <t>pc_desktopyuv.ppm_20.h265</t>
  </si>
  <si>
    <t>pc_desktopyuv.ppm_21.h265</t>
  </si>
  <si>
    <t>pc_desktopyuv.ppm_22.h265</t>
  </si>
  <si>
    <t>pc_desktopyuv.ppm_23.h265</t>
  </si>
  <si>
    <t>pc_desktopyuv.ppm_24.h265</t>
  </si>
  <si>
    <t>pc_desktopyuv.ppm_25.h265</t>
  </si>
  <si>
    <t>rainieryuv.ppm_10.h265</t>
  </si>
  <si>
    <t>rainieryuv.ppm_11.h265</t>
  </si>
  <si>
    <t>rainieryuv.ppm_12.h265</t>
  </si>
  <si>
    <t>rainieryuv.ppm_13.h265</t>
  </si>
  <si>
    <t>rainieryuv.ppm_14.h265</t>
  </si>
  <si>
    <t>rainieryuv.ppm_15.h265</t>
  </si>
  <si>
    <t>rainieryuv.ppm_16.h265</t>
  </si>
  <si>
    <t>rainieryuv.ppm_17.h265</t>
  </si>
  <si>
    <t>rainieryuv.ppm_18.h265</t>
  </si>
  <si>
    <t>rainieryuv.ppm_19.h265</t>
  </si>
  <si>
    <t>rainieryuv.ppm_20.h265</t>
  </si>
  <si>
    <t>rainieryuv.ppm_21.h265</t>
  </si>
  <si>
    <t>rainieryuv.ppm_22.h265</t>
  </si>
  <si>
    <t>rainieryuv.ppm_23.h265</t>
  </si>
  <si>
    <t>rainieryuv.ppm_24.h265</t>
  </si>
  <si>
    <t>rainieryuv.ppm_25.h265</t>
  </si>
  <si>
    <t>roomyuv.ppm_10.h265</t>
  </si>
  <si>
    <t>roomyuv.ppm_11.h265</t>
  </si>
  <si>
    <t>roomyuv.ppm_12.h265</t>
  </si>
  <si>
    <t>roomyuv.ppm_13.h265</t>
  </si>
  <si>
    <t>roomyuv.ppm_14.h265</t>
  </si>
  <si>
    <t>roomyuv.ppm_15.h265</t>
  </si>
  <si>
    <t>roomyuv.ppm_16.h265</t>
  </si>
  <si>
    <t>roomyuv.ppm_17.h265</t>
  </si>
  <si>
    <t>roomyuv.ppm_18.h265</t>
  </si>
  <si>
    <t>roomyuv.ppm_19.h265</t>
  </si>
  <si>
    <t>roomyuv.ppm_20.h265</t>
  </si>
  <si>
    <t>roomyuv.ppm_21.h265</t>
  </si>
  <si>
    <t>roomyuv.ppm_22.h265</t>
  </si>
  <si>
    <t>roomyuv.ppm_23.h265</t>
  </si>
  <si>
    <t>roomyuv.ppm_24.h265</t>
  </si>
  <si>
    <t>roomyuv.ppm_25.h265</t>
  </si>
  <si>
    <t>streetyuv.ppm_10.h265</t>
  </si>
  <si>
    <t>streetyuv.ppm_11.h265</t>
  </si>
  <si>
    <t>streetyuv.ppm_12.h265</t>
  </si>
  <si>
    <t>streetyuv.ppm_13.h265</t>
  </si>
  <si>
    <t>streetyuv.ppm_14.h265</t>
  </si>
  <si>
    <t>streetyuv.ppm_15.h265</t>
  </si>
  <si>
    <t>streetyuv.ppm_16.h265</t>
  </si>
  <si>
    <t>streetyuv.ppm_17.h265</t>
  </si>
  <si>
    <t>streetyuv.ppm_18.h265</t>
  </si>
  <si>
    <t>streetyuv.ppm_19.h265</t>
  </si>
  <si>
    <t>streetyuv.ppm_20.h265</t>
  </si>
  <si>
    <t>streetyuv.ppm_21.h265</t>
  </si>
  <si>
    <t>streetyuv.ppm_22.h265</t>
  </si>
  <si>
    <t>streetyuv.ppm_23.h265</t>
  </si>
  <si>
    <t>streetyuv.ppm_24.h265</t>
  </si>
  <si>
    <t>streetyuv.ppm_25.h265</t>
  </si>
  <si>
    <t>tatemonoyuv.ppm_10.h265</t>
  </si>
  <si>
    <t>tatemonoyuv.ppm_11.h265</t>
  </si>
  <si>
    <t>tatemonoyuv.ppm_12.h265</t>
  </si>
  <si>
    <t>tatemonoyuv.ppm_13.h265</t>
  </si>
  <si>
    <t>tatemonoyuv.ppm_14.h265</t>
  </si>
  <si>
    <t>tatemonoyuv.ppm_15.h265</t>
  </si>
  <si>
    <t>tatemonoyuv.ppm_16.h265</t>
  </si>
  <si>
    <t>tatemonoyuv.ppm_17.h265</t>
  </si>
  <si>
    <t>tatemonoyuv.ppm_18.h265</t>
  </si>
  <si>
    <t>tatemonoyuv.ppm_19.h265</t>
  </si>
  <si>
    <t>tatemonoyuv.ppm_20.h265</t>
  </si>
  <si>
    <t>tatemonoyuv.ppm_21.h265</t>
  </si>
  <si>
    <t>tatemonoyuv.ppm_22.h265</t>
  </si>
  <si>
    <t>tatemonoyuv.ppm_23.h265</t>
  </si>
  <si>
    <t>tatemonoyuv.ppm_24.h265</t>
  </si>
  <si>
    <t>tatemonoyuv.ppm_25.h265</t>
  </si>
  <si>
    <t>weddingyuv.ppm_10.h265</t>
  </si>
  <si>
    <t>weddingyuv.ppm_11.h265</t>
  </si>
  <si>
    <t>weddingyuv.ppm_12.h265</t>
  </si>
  <si>
    <t>weddingyuv.ppm_13.h265</t>
  </si>
  <si>
    <t>weddingyuv.ppm_14.h265</t>
  </si>
  <si>
    <t>weddingyuv.ppm_15.h265</t>
  </si>
  <si>
    <t>weddingyuv.ppm_16.h265</t>
  </si>
  <si>
    <t>weddingyuv.ppm_17.h265</t>
  </si>
  <si>
    <t>weddingyuv.ppm_18.h265</t>
  </si>
  <si>
    <t>weddingyuv.ppm_19.h265</t>
  </si>
  <si>
    <t>weddingyuv.ppm_20.h265</t>
  </si>
  <si>
    <t>weddingyuv.ppm_21.h265</t>
  </si>
  <si>
    <t>weddingyuv.ppm_22.h265</t>
  </si>
  <si>
    <t>weddingyuv.ppm_23.h265</t>
  </si>
  <si>
    <t>weddingyuv.ppm_24.h265</t>
  </si>
  <si>
    <t>weddingyuv.ppm_25.h265</t>
  </si>
  <si>
    <t>bostonyuv.ppm_10.h265</t>
  </si>
  <si>
    <t>bostonyuv.ppm_11.h265</t>
  </si>
  <si>
    <t>bostonyuv.ppm_12.h265</t>
  </si>
  <si>
    <t>bostonyuv.ppm_13.h265</t>
  </si>
  <si>
    <t>bostonyuv.ppm_14.h265</t>
  </si>
  <si>
    <t>bostonyuv.ppm_15.h265</t>
  </si>
  <si>
    <t>bostonyuv.ppm_16.h265</t>
  </si>
  <si>
    <t>bostonyuv.ppm_17.h265</t>
  </si>
  <si>
    <t>bostonyuv.ppm_18.h265</t>
  </si>
  <si>
    <t>bostonyuv.ppm_19.h265</t>
  </si>
  <si>
    <t>bostonyuv.ppm_20.h265</t>
  </si>
  <si>
    <t>bostonyuv.ppm_21.h265</t>
  </si>
  <si>
    <t>bostonyuv.ppm_22.h265</t>
  </si>
  <si>
    <t>bostonyuv.ppm_23.h265</t>
  </si>
  <si>
    <t>bostonyuv.ppm_24.h265</t>
  </si>
  <si>
    <t>bostonyuv.ppm_25.h265</t>
  </si>
  <si>
    <t>concordyuv.ppm_10.h265</t>
  </si>
  <si>
    <t>concordyuv.ppm_11.h265</t>
  </si>
  <si>
    <t>concordyuv.ppm_12.h265</t>
  </si>
  <si>
    <t>concordyuv.ppm_13.h265</t>
  </si>
  <si>
    <t>concordyuv.ppm_14.h265</t>
  </si>
  <si>
    <t>concordyuv.ppm_15.h265</t>
  </si>
  <si>
    <t>concordyuv.ppm_16.h265</t>
  </si>
  <si>
    <t>concordyuv.ppm_17.h265</t>
  </si>
  <si>
    <t>concordyuv.ppm_18.h265</t>
  </si>
  <si>
    <t>concordyuv.ppm_19.h265</t>
  </si>
  <si>
    <t>concordyuv.ppm_20.h265</t>
  </si>
  <si>
    <t>concordyuv.ppm_21.h265</t>
  </si>
  <si>
    <t>concordyuv.ppm_22.h265</t>
  </si>
  <si>
    <t>concordyuv.ppm_23.h265</t>
  </si>
  <si>
    <t>concordyuv.ppm_24.h265</t>
  </si>
  <si>
    <t>concordyuv.ppm_25.h265</t>
  </si>
  <si>
    <t>scratchesyuv.ppm_10.h265</t>
  </si>
  <si>
    <t>scratchesyuv.ppm_11.h265</t>
  </si>
  <si>
    <t>scratchesyuv.ppm_12.h265</t>
  </si>
  <si>
    <t>scratchesyuv.ppm_13.h265</t>
  </si>
  <si>
    <t>scratchesyuv.ppm_14.h265</t>
  </si>
  <si>
    <t>scratchesyuv.ppm_15.h265</t>
  </si>
  <si>
    <t>scratchesyuv.ppm_16.h265</t>
  </si>
  <si>
    <t>scratchesyuv.ppm_17.h265</t>
  </si>
  <si>
    <t>scratchesyuv.ppm_18.h265</t>
  </si>
  <si>
    <t>scratchesyuv.ppm_19.h265</t>
  </si>
  <si>
    <t>scratchesyuv.ppm_20.h265</t>
  </si>
  <si>
    <t>scratchesyuv.ppm_21.h265</t>
  </si>
  <si>
    <t>scratchesyuv.ppm_22.h265</t>
  </si>
  <si>
    <t>scratchesyuv.ppm_23.h265</t>
  </si>
  <si>
    <t>scratchesyuv.ppm_24.h265</t>
  </si>
  <si>
    <t>scratchesyuv.ppm_25.h265</t>
  </si>
  <si>
    <t>src_file</t>
    <phoneticPr fontId="1" type="noConversion"/>
  </si>
  <si>
    <t>bar.ppm80.jpg</t>
  </si>
  <si>
    <t>bar.ppm81.jpg</t>
  </si>
  <si>
    <t>bar.ppm82.jpg</t>
  </si>
  <si>
    <t>bar.ppm83.jpg</t>
  </si>
  <si>
    <t>bar.ppm84.jpg</t>
  </si>
  <si>
    <t>bar.ppm85.jpg</t>
  </si>
  <si>
    <t>bar.ppm86.jpg</t>
  </si>
  <si>
    <t>bar.ppm87.jpg</t>
  </si>
  <si>
    <t>bar.ppm88.jpg</t>
  </si>
  <si>
    <t>bar.ppm89.jpg</t>
  </si>
  <si>
    <t>boston.ppm80.jpg</t>
  </si>
  <si>
    <t>boston.ppm81.jpg</t>
  </si>
  <si>
    <t>boston.ppm82.jpg</t>
  </si>
  <si>
    <t>boston.ppm83.jpg</t>
  </si>
  <si>
    <t>boston.ppm84.jpg</t>
  </si>
  <si>
    <t>boston.ppm85.jpg</t>
  </si>
  <si>
    <t>boston.ppm86.jpg</t>
  </si>
  <si>
    <t>boston.ppm87.jpg</t>
  </si>
  <si>
    <t>boston.ppm88.jpg</t>
  </si>
  <si>
    <t>boston.ppm89.jpg</t>
  </si>
  <si>
    <t>boston.ppm90.jpg</t>
  </si>
  <si>
    <t>boston.ppm91.jpg</t>
  </si>
  <si>
    <t>boston.ppm92.jpg</t>
  </si>
  <si>
    <t>boston.ppm93.jpg</t>
  </si>
  <si>
    <t>boston.ppm94.jpg</t>
  </si>
  <si>
    <t>boston.ppm95.jpg</t>
  </si>
  <si>
    <t>bottle.ppm80.jpg</t>
  </si>
  <si>
    <t>bottle.ppm81.jpg</t>
  </si>
  <si>
    <t>bottle.ppm82.jpg</t>
  </si>
  <si>
    <t>bottle.ppm83.jpg</t>
  </si>
  <si>
    <t>bottle.ppm84.jpg</t>
  </si>
  <si>
    <t>bottle.ppm85.jpg</t>
  </si>
  <si>
    <t>bottle.ppm86.jpg</t>
  </si>
  <si>
    <t>bottle.ppm87.jpg</t>
  </si>
  <si>
    <t>bottle.ppm88.jpg</t>
  </si>
  <si>
    <t>bottle.ppm89.jpg</t>
  </si>
  <si>
    <t>bottle.ppm90.jpg</t>
  </si>
  <si>
    <t>bottle.ppm91.jpg</t>
  </si>
  <si>
    <t>bottle.ppm92.jpg</t>
  </si>
  <si>
    <t>bottle.ppm93.jpg</t>
  </si>
  <si>
    <t>bottle.ppm94.jpg</t>
  </si>
  <si>
    <t>bottle.ppm95.jpg</t>
  </si>
  <si>
    <t>building.ppm80.jpg</t>
  </si>
  <si>
    <t>building.ppm81.jpg</t>
  </si>
  <si>
    <t>building.ppm82.jpg</t>
  </si>
  <si>
    <t>building.ppm83.jpg</t>
  </si>
  <si>
    <t>building.ppm84.jpg</t>
  </si>
  <si>
    <t>building.ppm85.jpg</t>
  </si>
  <si>
    <t>building.ppm86.jpg</t>
  </si>
  <si>
    <t>building.ppm87.jpg</t>
  </si>
  <si>
    <t>building.ppm88.jpg</t>
  </si>
  <si>
    <t>building.ppm89.jpg</t>
  </si>
  <si>
    <t>camera.ppm80.jpg</t>
  </si>
  <si>
    <t>camera.ppm81.jpg</t>
  </si>
  <si>
    <t>camera.ppm82.jpg</t>
  </si>
  <si>
    <t>camera.ppm83.jpg</t>
  </si>
  <si>
    <t>camera.ppm84.jpg</t>
  </si>
  <si>
    <t>camera.ppm85.jpg</t>
  </si>
  <si>
    <t>camera.ppm86.jpg</t>
  </si>
  <si>
    <t>camera.ppm87.jpg</t>
  </si>
  <si>
    <t>camera.ppm88.jpg</t>
  </si>
  <si>
    <t>camera.ppm89.jpg</t>
  </si>
  <si>
    <t>camera.ppm90.jpg</t>
  </si>
  <si>
    <t>camera.ppm91.jpg</t>
  </si>
  <si>
    <t>camera.ppm92.jpg</t>
  </si>
  <si>
    <t>camera.ppm93.jpg</t>
  </si>
  <si>
    <t>camera.ppm94.jpg</t>
  </si>
  <si>
    <t>camera.ppm95.jpg</t>
  </si>
  <si>
    <t>character.ppm80.jpg</t>
  </si>
  <si>
    <t>character.ppm81.jpg</t>
  </si>
  <si>
    <t>character.ppm82.jpg</t>
  </si>
  <si>
    <t>character.ppm83.jpg</t>
  </si>
  <si>
    <t>character.ppm84.jpg</t>
  </si>
  <si>
    <t>character.ppm85.jpg</t>
  </si>
  <si>
    <t>character.ppm86.jpg</t>
  </si>
  <si>
    <t>character.ppm87.jpg</t>
  </si>
  <si>
    <t>character.ppm88.jpg</t>
  </si>
  <si>
    <t>character.ppm89.jpg</t>
  </si>
  <si>
    <t>concord.ppm80.jpg</t>
  </si>
  <si>
    <t>concord.ppm81.jpg</t>
  </si>
  <si>
    <t>concord.ppm82.jpg</t>
  </si>
  <si>
    <t>concord.ppm83.jpg</t>
  </si>
  <si>
    <t>concord.ppm84.jpg</t>
  </si>
  <si>
    <t>concord.ppm85.jpg</t>
  </si>
  <si>
    <t>concord.ppm86.jpg</t>
  </si>
  <si>
    <t>concord.ppm87.jpg</t>
  </si>
  <si>
    <t>concord.ppm88.jpg</t>
  </si>
  <si>
    <t>concord.ppm89.jpg</t>
  </si>
  <si>
    <t>concord.ppm90.jpg</t>
  </si>
  <si>
    <t>concord.ppm91.jpg</t>
  </si>
  <si>
    <t>concord.ppm92.jpg</t>
  </si>
  <si>
    <t>concord.ppm93.jpg</t>
  </si>
  <si>
    <t>concord.ppm94.jpg</t>
  </si>
  <si>
    <t>concord.ppm95.jpg</t>
  </si>
  <si>
    <t>deskchair.ppm80.jpg</t>
  </si>
  <si>
    <t>deskchair.ppm81.jpg</t>
  </si>
  <si>
    <t>deskchair.ppm82.jpg</t>
  </si>
  <si>
    <t>deskchair.ppm83.jpg</t>
  </si>
  <si>
    <t>deskchair.ppm84.jpg</t>
  </si>
  <si>
    <t>deskchair.ppm85.jpg</t>
  </si>
  <si>
    <t>deskchair.ppm86.jpg</t>
  </si>
  <si>
    <t>deskchair.ppm87.jpg</t>
  </si>
  <si>
    <t>deskchair.ppm88.jpg</t>
  </si>
  <si>
    <t>deskchair.ppm89.jpg</t>
  </si>
  <si>
    <t>deskchair.ppm90.jpg</t>
  </si>
  <si>
    <t>deskchair.ppm91.jpg</t>
  </si>
  <si>
    <t>deskchair.ppm92.jpg</t>
  </si>
  <si>
    <t>deskchair.ppm93.jpg</t>
  </si>
  <si>
    <t>deskchair.ppm94.jpg</t>
  </si>
  <si>
    <t>deskchair.ppm95.jpg</t>
  </si>
  <si>
    <t>earth.ppm80.jpg</t>
  </si>
  <si>
    <t>earth.ppm81.jpg</t>
  </si>
  <si>
    <t>earth.ppm82.jpg</t>
  </si>
  <si>
    <t>earth.ppm83.jpg</t>
  </si>
  <si>
    <t>earth.ppm84.jpg</t>
  </si>
  <si>
    <t>earth.ppm85.jpg</t>
  </si>
  <si>
    <t>earth.ppm86.jpg</t>
  </si>
  <si>
    <t>earth.ppm87.jpg</t>
  </si>
  <si>
    <t>earth.ppm88.jpg</t>
  </si>
  <si>
    <t>earth.ppm89.jpg</t>
  </si>
  <si>
    <t>flower.ppm80.jpg</t>
  </si>
  <si>
    <t>flower.ppm81.jpg</t>
  </si>
  <si>
    <t>flower.ppm82.jpg</t>
  </si>
  <si>
    <t>flower.ppm83.jpg</t>
  </si>
  <si>
    <t>flower.ppm84.jpg</t>
  </si>
  <si>
    <t>flower.ppm85.jpg</t>
  </si>
  <si>
    <t>flower.ppm86.jpg</t>
  </si>
  <si>
    <t>flower.ppm87.jpg</t>
  </si>
  <si>
    <t>flower.ppm88.jpg</t>
  </si>
  <si>
    <t>flower.ppm89.jpg</t>
  </si>
  <si>
    <t>kitchen.ppm80.jpg</t>
  </si>
  <si>
    <t>kitchen.ppm81.jpg</t>
  </si>
  <si>
    <t>kitchen.ppm82.jpg</t>
  </si>
  <si>
    <t>kitchen.ppm83.jpg</t>
  </si>
  <si>
    <t>kitchen.ppm84.jpg</t>
  </si>
  <si>
    <t>kitchen.ppm85.jpg</t>
  </si>
  <si>
    <t>kitchen.ppm86.jpg</t>
  </si>
  <si>
    <t>kitchen.ppm87.jpg</t>
  </si>
  <si>
    <t>kitchen.ppm88.jpg</t>
  </si>
  <si>
    <t>kitchen.ppm89.jpg</t>
  </si>
  <si>
    <t>kitchen.ppm90.jpg</t>
  </si>
  <si>
    <t>kitchen.ppm91.jpg</t>
  </si>
  <si>
    <t>kitchen.ppm92.jpg</t>
  </si>
  <si>
    <t>kitchen.ppm93.jpg</t>
  </si>
  <si>
    <t>kitchen.ppm94.jpg</t>
  </si>
  <si>
    <t>kitchen.ppm95.jpg</t>
  </si>
  <si>
    <t>lemon.ppm80.jpg</t>
  </si>
  <si>
    <t>lemon.ppm81.jpg</t>
  </si>
  <si>
    <t>lemon.ppm82.jpg</t>
  </si>
  <si>
    <t>lemon.ppm83.jpg</t>
  </si>
  <si>
    <t>lemon.ppm84.jpg</t>
  </si>
  <si>
    <t>lemon.ppm85.jpg</t>
  </si>
  <si>
    <t>lemon.ppm86.jpg</t>
  </si>
  <si>
    <t>lemon.ppm87.jpg</t>
  </si>
  <si>
    <t>lemon.ppm88.jpg</t>
  </si>
  <si>
    <t>lemon.ppm89.jpg</t>
  </si>
  <si>
    <t>lemon.ppm90.jpg</t>
  </si>
  <si>
    <t>lemon.ppm91.jpg</t>
  </si>
  <si>
    <t>lemon.ppm92.jpg</t>
  </si>
  <si>
    <t>lemon.ppm93.jpg</t>
  </si>
  <si>
    <t>lemon.ppm94.jpg</t>
  </si>
  <si>
    <t>lemon.ppm95.jpg</t>
  </si>
  <si>
    <t>pcgame.ppm80.jpg</t>
  </si>
  <si>
    <t>pcgame.ppm81.jpg</t>
  </si>
  <si>
    <t>pcgame.ppm82.jpg</t>
  </si>
  <si>
    <t>pcgame.ppm83.jpg</t>
  </si>
  <si>
    <t>pcgame.ppm84.jpg</t>
  </si>
  <si>
    <t>pcgame.ppm85.jpg</t>
  </si>
  <si>
    <t>pcgame.ppm86.jpg</t>
  </si>
  <si>
    <t>pcgame.ppm87.jpg</t>
  </si>
  <si>
    <t>pcgame.ppm88.jpg</t>
  </si>
  <si>
    <t>pcgame.ppm89.jpg</t>
  </si>
  <si>
    <t>pcgame.ppm90.jpg</t>
  </si>
  <si>
    <t>pcgame.ppm91.jpg</t>
  </si>
  <si>
    <t>pcgame.ppm92.jpg</t>
  </si>
  <si>
    <t>pcgame.ppm93.jpg</t>
  </si>
  <si>
    <t>pcgame.ppm94.jpg</t>
  </si>
  <si>
    <t>pcgame.ppm95.jpg</t>
  </si>
  <si>
    <t>pc_desktop.ppm80.jpg</t>
  </si>
  <si>
    <t>pc_desktop.ppm81.jpg</t>
  </si>
  <si>
    <t>pc_desktop.ppm82.jpg</t>
  </si>
  <si>
    <t>pc_desktop.ppm83.jpg</t>
  </si>
  <si>
    <t>pc_desktop.ppm84.jpg</t>
  </si>
  <si>
    <t>pc_desktop.ppm85.jpg</t>
  </si>
  <si>
    <t>pc_desktop.ppm86.jpg</t>
  </si>
  <si>
    <t>pc_desktop.ppm87.jpg</t>
  </si>
  <si>
    <t>pc_desktop.ppm88.jpg</t>
  </si>
  <si>
    <t>pc_desktop.ppm89.jpg</t>
  </si>
  <si>
    <t>pc_desktop.ppm90.jpg</t>
  </si>
  <si>
    <t>pc_desktop.ppm91.jpg</t>
  </si>
  <si>
    <t>pc_desktop.ppm92.jpg</t>
  </si>
  <si>
    <t>pc_desktop.ppm93.jpg</t>
  </si>
  <si>
    <t>pc_desktop.ppm94.jpg</t>
  </si>
  <si>
    <t>pc_desktop.ppm95.jpg</t>
  </si>
  <si>
    <t>rainier.ppm80.jpg</t>
  </si>
  <si>
    <t>rainier.ppm81.jpg</t>
  </si>
  <si>
    <t>rainier.ppm82.jpg</t>
  </si>
  <si>
    <t>rainier.ppm83.jpg</t>
  </si>
  <si>
    <t>rainier.ppm84.jpg</t>
  </si>
  <si>
    <t>rainier.ppm85.jpg</t>
  </si>
  <si>
    <t>rainier.ppm86.jpg</t>
  </si>
  <si>
    <t>rainier.ppm87.jpg</t>
  </si>
  <si>
    <t>rainier.ppm88.jpg</t>
  </si>
  <si>
    <t>rainier.ppm89.jpg</t>
  </si>
  <si>
    <t>rainier.ppm90.jpg</t>
  </si>
  <si>
    <t>rainier.ppm91.jpg</t>
  </si>
  <si>
    <t>rainier.ppm92.jpg</t>
  </si>
  <si>
    <t>rainier.ppm93.jpg</t>
  </si>
  <si>
    <t>rainier.ppm94.jpg</t>
  </si>
  <si>
    <t>rainier.ppm95.jpg</t>
  </si>
  <si>
    <t>room.ppm80.jpg</t>
  </si>
  <si>
    <t>room.ppm81.jpg</t>
  </si>
  <si>
    <t>room.ppm82.jpg</t>
  </si>
  <si>
    <t>room.ppm83.jpg</t>
  </si>
  <si>
    <t>room.ppm84.jpg</t>
  </si>
  <si>
    <t>room.ppm85.jpg</t>
  </si>
  <si>
    <t>room.ppm86.jpg</t>
  </si>
  <si>
    <t>room.ppm87.jpg</t>
  </si>
  <si>
    <t>room.ppm88.jpg</t>
  </si>
  <si>
    <t>room.ppm89.jpg</t>
  </si>
  <si>
    <t>room.ppm90.jpg</t>
  </si>
  <si>
    <t>room.ppm91.jpg</t>
  </si>
  <si>
    <t>room.ppm92.jpg</t>
  </si>
  <si>
    <t>room.ppm93.jpg</t>
  </si>
  <si>
    <t>room.ppm94.jpg</t>
  </si>
  <si>
    <t>room.ppm95.jpg</t>
  </si>
  <si>
    <t>scratches.ppm80.jpg</t>
  </si>
  <si>
    <t>scratches.ppm81.jpg</t>
  </si>
  <si>
    <t>scratches.ppm82.jpg</t>
  </si>
  <si>
    <t>scratches.ppm83.jpg</t>
  </si>
  <si>
    <t>scratches.ppm84.jpg</t>
  </si>
  <si>
    <t>scratches.ppm85.jpg</t>
  </si>
  <si>
    <t>scratches.ppm86.jpg</t>
  </si>
  <si>
    <t>scratches.ppm87.jpg</t>
  </si>
  <si>
    <t>scratches.ppm88.jpg</t>
  </si>
  <si>
    <t>scratches.ppm89.jpg</t>
  </si>
  <si>
    <t>scratches.ppm90.jpg</t>
  </si>
  <si>
    <t>scratches.ppm91.jpg</t>
  </si>
  <si>
    <t>scratches.ppm92.jpg</t>
  </si>
  <si>
    <t>scratches.ppm93.jpg</t>
  </si>
  <si>
    <t>scratches.ppm94.jpg</t>
  </si>
  <si>
    <t>scratches.ppm95.jpg</t>
  </si>
  <si>
    <t>shop.ppm80.jpg</t>
  </si>
  <si>
    <t>shop.ppm81.jpg</t>
  </si>
  <si>
    <t>shop.ppm82.jpg</t>
  </si>
  <si>
    <t>shop.ppm83.jpg</t>
  </si>
  <si>
    <t>shop.ppm84.jpg</t>
  </si>
  <si>
    <t>shop.ppm85.jpg</t>
  </si>
  <si>
    <t>shop.ppm86.jpg</t>
  </si>
  <si>
    <t>shop.ppm87.jpg</t>
  </si>
  <si>
    <t>shop.ppm88.jpg</t>
  </si>
  <si>
    <t>shop.ppm89.jpg</t>
  </si>
  <si>
    <t>street.ppm80.jpg</t>
  </si>
  <si>
    <t>street.ppm81.jpg</t>
  </si>
  <si>
    <t>street.ppm82.jpg</t>
  </si>
  <si>
    <t>street.ppm83.jpg</t>
  </si>
  <si>
    <t>street.ppm84.jpg</t>
  </si>
  <si>
    <t>street.ppm85.jpg</t>
  </si>
  <si>
    <t>street.ppm86.jpg</t>
  </si>
  <si>
    <t>street.ppm87.jpg</t>
  </si>
  <si>
    <t>street.ppm88.jpg</t>
  </si>
  <si>
    <t>street.ppm89.jpg</t>
  </si>
  <si>
    <t>street.ppm90.jpg</t>
  </si>
  <si>
    <t>street.ppm91.jpg</t>
  </si>
  <si>
    <t>street.ppm92.jpg</t>
  </si>
  <si>
    <t>street.ppm93.jpg</t>
  </si>
  <si>
    <t>street.ppm94.jpg</t>
  </si>
  <si>
    <t>street.ppm95.jpg</t>
  </si>
  <si>
    <t>tatemono.ppm80.jpg</t>
  </si>
  <si>
    <t>tatemono.ppm81.jpg</t>
  </si>
  <si>
    <t>tatemono.ppm82.jpg</t>
  </si>
  <si>
    <t>tatemono.ppm83.jpg</t>
  </si>
  <si>
    <t>tatemono.ppm84.jpg</t>
  </si>
  <si>
    <t>tatemono.ppm85.jpg</t>
  </si>
  <si>
    <t>tatemono.ppm86.jpg</t>
  </si>
  <si>
    <t>tatemono.ppm87.jpg</t>
  </si>
  <si>
    <t>tatemono.ppm88.jpg</t>
  </si>
  <si>
    <t>tatemono.ppm89.jpg</t>
  </si>
  <si>
    <t>tatemono.ppm90.jpg</t>
  </si>
  <si>
    <t>tatemono.ppm91.jpg</t>
  </si>
  <si>
    <t>tatemono.ppm92.jpg</t>
  </si>
  <si>
    <t>tatemono.ppm93.jpg</t>
  </si>
  <si>
    <t>tatemono.ppm94.jpg</t>
  </si>
  <si>
    <t>tatemono.ppm95.jpg</t>
  </si>
  <si>
    <t>wedding.ppm80.jpg</t>
  </si>
  <si>
    <t>wedding.ppm81.jpg</t>
  </si>
  <si>
    <t>wedding.ppm82.jpg</t>
  </si>
  <si>
    <t>wedding.ppm83.jpg</t>
  </si>
  <si>
    <t>wedding.ppm84.jpg</t>
  </si>
  <si>
    <t>wedding.ppm85.jpg</t>
  </si>
  <si>
    <t>wedding.ppm86.jpg</t>
  </si>
  <si>
    <t>wedding.ppm87.jpg</t>
  </si>
  <si>
    <t>wedding.ppm88.jpg</t>
  </si>
  <si>
    <t>wedding.ppm89.jpg</t>
  </si>
  <si>
    <t>wedding.ppm90.jpg</t>
  </si>
  <si>
    <t>wedding.ppm91.jpg</t>
  </si>
  <si>
    <t>wedding.ppm92.jpg</t>
  </si>
  <si>
    <t>wedding.ppm93.jpg</t>
  </si>
  <si>
    <t>wedding.ppm94.jpg</t>
  </si>
  <si>
    <t>wedding.ppm95.jpg</t>
  </si>
  <si>
    <t>算法</t>
    <phoneticPr fontId="1" type="noConversion"/>
  </si>
  <si>
    <t>jpeg</t>
    <phoneticPr fontId="1" type="noConversion"/>
  </si>
  <si>
    <t>算法</t>
    <phoneticPr fontId="1" type="noConversion"/>
  </si>
  <si>
    <t>HEVC_inner</t>
    <phoneticPr fontId="1" type="noConversion"/>
  </si>
  <si>
    <t>图像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</si>
</sst>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0000_);[Red]\(0.0000000\)"/>
    <numFmt numFmtId="177" formatCode="0.00_);[Red]\(0.00\)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176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177" fontId="0" fillId="0" borderId="0" xfId="0" applyNumberFormat="1"/>
    <xf numFmtId="177" fontId="0" fillId="0" borderId="0" xfId="0" applyNumberFormat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JPEG结果!$E$2:$E$12</c:f>
              <c:numCache>
                <c:formatCode>0.00_);[Red]\(0.00\)</c:formatCode>
                <c:ptCount val="11"/>
                <c:pt idx="0">
                  <c:v>37.0168454698901</c:v>
                </c:pt>
                <c:pt idx="1">
                  <c:v>37.170466956173897</c:v>
                </c:pt>
                <c:pt idx="2">
                  <c:v>37.294701082817099</c:v>
                </c:pt>
                <c:pt idx="3">
                  <c:v>37.4508579384417</c:v>
                </c:pt>
                <c:pt idx="4">
                  <c:v>37.599831608751401</c:v>
                </c:pt>
                <c:pt idx="5">
                  <c:v>37.7693833305105</c:v>
                </c:pt>
                <c:pt idx="6">
                  <c:v>37.966630301653602</c:v>
                </c:pt>
                <c:pt idx="7">
                  <c:v>38.145312257971</c:v>
                </c:pt>
                <c:pt idx="8">
                  <c:v>38.382559387626898</c:v>
                </c:pt>
                <c:pt idx="9">
                  <c:v>38.618617049114498</c:v>
                </c:pt>
                <c:pt idx="10">
                  <c:v>38.934487748944498</c:v>
                </c:pt>
              </c:numCache>
            </c:numRef>
          </c:xVal>
          <c:yVal>
            <c:numRef>
              <c:f>JPEG结果!$C$2:$C$12</c:f>
              <c:numCache>
                <c:formatCode>General</c:formatCode>
                <c:ptCount val="11"/>
                <c:pt idx="0">
                  <c:v>16.224928927257999</c:v>
                </c:pt>
                <c:pt idx="1">
                  <c:v>15.564217911060201</c:v>
                </c:pt>
                <c:pt idx="2">
                  <c:v>15.0638192767875</c:v>
                </c:pt>
                <c:pt idx="3">
                  <c:v>14.397200544338601</c:v>
                </c:pt>
                <c:pt idx="4">
                  <c:v>13.897160831131</c:v>
                </c:pt>
                <c:pt idx="5">
                  <c:v>13.3202289414349</c:v>
                </c:pt>
                <c:pt idx="6">
                  <c:v>12.654035955623</c:v>
                </c:pt>
                <c:pt idx="7">
                  <c:v>12.107293414245801</c:v>
                </c:pt>
                <c:pt idx="8">
                  <c:v>11.33610321452</c:v>
                </c:pt>
                <c:pt idx="9">
                  <c:v>10.7931605840049</c:v>
                </c:pt>
                <c:pt idx="10">
                  <c:v>9.9911344100528101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FC-4417-AA54-E8A12818E276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HEVC结果!$E$2:$E$17</c:f>
              <c:numCache>
                <c:formatCode>General</c:formatCode>
                <c:ptCount val="16"/>
                <c:pt idx="0">
                  <c:v>39.389965960076303</c:v>
                </c:pt>
                <c:pt idx="1">
                  <c:v>38.7332003045805</c:v>
                </c:pt>
                <c:pt idx="2">
                  <c:v>38.115804185838499</c:v>
                </c:pt>
                <c:pt idx="3">
                  <c:v>37.529848864150601</c:v>
                </c:pt>
                <c:pt idx="4">
                  <c:v>36.991194374497802</c:v>
                </c:pt>
                <c:pt idx="5">
                  <c:v>36.490447693043002</c:v>
                </c:pt>
                <c:pt idx="6">
                  <c:v>36.014693256207302</c:v>
                </c:pt>
                <c:pt idx="7">
                  <c:v>35.546749362937199</c:v>
                </c:pt>
                <c:pt idx="8">
                  <c:v>35.086193766157599</c:v>
                </c:pt>
                <c:pt idx="9">
                  <c:v>34.6268372800115</c:v>
                </c:pt>
                <c:pt idx="10">
                  <c:v>34.1605954208028</c:v>
                </c:pt>
                <c:pt idx="11">
                  <c:v>33.6964674049769</c:v>
                </c:pt>
                <c:pt idx="12">
                  <c:v>33.208092636090498</c:v>
                </c:pt>
                <c:pt idx="13">
                  <c:v>32.697661999571203</c:v>
                </c:pt>
                <c:pt idx="14">
                  <c:v>32.200495720338402</c:v>
                </c:pt>
                <c:pt idx="15">
                  <c:v>31.6905548625111</c:v>
                </c:pt>
              </c:numCache>
            </c:numRef>
          </c:xVal>
          <c:yVal>
            <c:numRef>
              <c:f>HEVC结果!$C$2:$C$17</c:f>
              <c:numCache>
                <c:formatCode>General</c:formatCode>
                <c:ptCount val="16"/>
                <c:pt idx="0">
                  <c:v>15.2500864142146</c:v>
                </c:pt>
                <c:pt idx="1">
                  <c:v>17.5752147884041</c:v>
                </c:pt>
                <c:pt idx="2">
                  <c:v>20.3778925024241</c:v>
                </c:pt>
                <c:pt idx="3">
                  <c:v>23.9039966800005</c:v>
                </c:pt>
                <c:pt idx="4">
                  <c:v>28.054604738002801</c:v>
                </c:pt>
                <c:pt idx="5">
                  <c:v>32.848588537211299</c:v>
                </c:pt>
                <c:pt idx="6">
                  <c:v>38.218814508994399</c:v>
                </c:pt>
                <c:pt idx="7">
                  <c:v>44.200653687650998</c:v>
                </c:pt>
                <c:pt idx="8">
                  <c:v>50.647257095403198</c:v>
                </c:pt>
                <c:pt idx="9">
                  <c:v>57.479718367120697</c:v>
                </c:pt>
                <c:pt idx="10">
                  <c:v>64.812152278552205</c:v>
                </c:pt>
                <c:pt idx="11">
                  <c:v>72.834562697576402</c:v>
                </c:pt>
                <c:pt idx="12">
                  <c:v>81.360188333769301</c:v>
                </c:pt>
                <c:pt idx="13">
                  <c:v>92.010057683774605</c:v>
                </c:pt>
                <c:pt idx="14">
                  <c:v>102.694136291601</c:v>
                </c:pt>
                <c:pt idx="15">
                  <c:v>115.51874616998801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FC-4417-AA54-E8A12818E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JPEG结果!$E$13:$E$17</c:f>
              <c:numCache>
                <c:formatCode>0.00_);[Red]\(0.00\)</c:formatCode>
                <c:ptCount val="5"/>
                <c:pt idx="0">
                  <c:v>39.275729484284902</c:v>
                </c:pt>
                <c:pt idx="1">
                  <c:v>39.647678849843999</c:v>
                </c:pt>
                <c:pt idx="2">
                  <c:v>40.1467797314778</c:v>
                </c:pt>
                <c:pt idx="3">
                  <c:v>40.803797120446198</c:v>
                </c:pt>
                <c:pt idx="4">
                  <c:v>41.591859500892497</c:v>
                </c:pt>
              </c:numCache>
            </c:numRef>
          </c:xVal>
          <c:yVal>
            <c:numRef>
              <c:f>JPEG结果!$C$13:$C$17</c:f>
              <c:numCache>
                <c:formatCode>General</c:formatCode>
                <c:ptCount val="5"/>
                <c:pt idx="0">
                  <c:v>9.3108464895737892</c:v>
                </c:pt>
                <c:pt idx="1">
                  <c:v>8.7587664399348402</c:v>
                </c:pt>
                <c:pt idx="2">
                  <c:v>7.94926414870113</c:v>
                </c:pt>
                <c:pt idx="3">
                  <c:v>7.1111354977211896</c:v>
                </c:pt>
                <c:pt idx="4">
                  <c:v>6.3886555355408001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CC-49B3-8828-7B1245E09C83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HEVC结果!$E$18:$E$31</c:f>
              <c:numCache>
                <c:formatCode>General</c:formatCode>
                <c:ptCount val="14"/>
                <c:pt idx="0">
                  <c:v>37.441881755116299</c:v>
                </c:pt>
                <c:pt idx="1">
                  <c:v>36.6361411019735</c:v>
                </c:pt>
                <c:pt idx="2">
                  <c:v>35.876559606584898</c:v>
                </c:pt>
                <c:pt idx="3">
                  <c:v>35.113261922201502</c:v>
                </c:pt>
                <c:pt idx="4">
                  <c:v>34.326465823403701</c:v>
                </c:pt>
                <c:pt idx="5">
                  <c:v>33.604375642102198</c:v>
                </c:pt>
                <c:pt idx="6">
                  <c:v>32.891004104900802</c:v>
                </c:pt>
                <c:pt idx="7">
                  <c:v>32.154186354821597</c:v>
                </c:pt>
                <c:pt idx="8">
                  <c:v>31.431518833427099</c:v>
                </c:pt>
                <c:pt idx="9">
                  <c:v>30.724391599946902</c:v>
                </c:pt>
                <c:pt idx="10">
                  <c:v>30.048888144946702</c:v>
                </c:pt>
                <c:pt idx="11">
                  <c:v>29.396520814385099</c:v>
                </c:pt>
                <c:pt idx="12">
                  <c:v>28.778014461269301</c:v>
                </c:pt>
                <c:pt idx="13">
                  <c:v>28.136311870856801</c:v>
                </c:pt>
              </c:numCache>
            </c:numRef>
          </c:xVal>
          <c:yVal>
            <c:numRef>
              <c:f>HEVC结果!$C$18:$C$31</c:f>
              <c:numCache>
                <c:formatCode>General</c:formatCode>
                <c:ptCount val="14"/>
                <c:pt idx="0">
                  <c:v>9.5469173714669804</c:v>
                </c:pt>
                <c:pt idx="1">
                  <c:v>10.563333644645599</c:v>
                </c:pt>
                <c:pt idx="2">
                  <c:v>11.737358490566001</c:v>
                </c:pt>
                <c:pt idx="3">
                  <c:v>13.0969173568683</c:v>
                </c:pt>
                <c:pt idx="4">
                  <c:v>14.703115619696799</c:v>
                </c:pt>
                <c:pt idx="5">
                  <c:v>16.4949765732513</c:v>
                </c:pt>
                <c:pt idx="6">
                  <c:v>18.617791770916899</c:v>
                </c:pt>
                <c:pt idx="7">
                  <c:v>21.247207820152902</c:v>
                </c:pt>
                <c:pt idx="8">
                  <c:v>24.300189845233199</c:v>
                </c:pt>
                <c:pt idx="9">
                  <c:v>27.9567669595308</c:v>
                </c:pt>
                <c:pt idx="10">
                  <c:v>32.262548102355602</c:v>
                </c:pt>
                <c:pt idx="11">
                  <c:v>37.3023439889187</c:v>
                </c:pt>
                <c:pt idx="12">
                  <c:v>43.257977706231301</c:v>
                </c:pt>
                <c:pt idx="13">
                  <c:v>50.759250948553699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CC-49B3-8828-7B1245E09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'character'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JPEG结果!$E$18:$E$21</c:f>
              <c:numCache>
                <c:formatCode>0.00_);[Red]\(0.00\)</c:formatCode>
                <c:ptCount val="4"/>
                <c:pt idx="0">
                  <c:v>33.090861005334297</c:v>
                </c:pt>
                <c:pt idx="1">
                  <c:v>33.329023050504802</c:v>
                </c:pt>
                <c:pt idx="2">
                  <c:v>33.565748163387397</c:v>
                </c:pt>
                <c:pt idx="3">
                  <c:v>33.821194484206799</c:v>
                </c:pt>
              </c:numCache>
            </c:numRef>
          </c:xVal>
          <c:yVal>
            <c:numRef>
              <c:f>JPEG结果!$C$18:$C$21</c:f>
              <c:numCache>
                <c:formatCode>General</c:formatCode>
                <c:ptCount val="4"/>
                <c:pt idx="0">
                  <c:v>10.3832633971939</c:v>
                </c:pt>
                <c:pt idx="1">
                  <c:v>10.0112974711045</c:v>
                </c:pt>
                <c:pt idx="2">
                  <c:v>9.6714312810355505</c:v>
                </c:pt>
                <c:pt idx="3">
                  <c:v>9.2780045608503592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EC-43B8-8BE5-047B0CE2D75B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HEVC结果!$E$32:$E$45</c:f>
              <c:numCache>
                <c:formatCode>General</c:formatCode>
                <c:ptCount val="14"/>
                <c:pt idx="0">
                  <c:v>27.563092966767101</c:v>
                </c:pt>
                <c:pt idx="1">
                  <c:v>27.011636002538999</c:v>
                </c:pt>
                <c:pt idx="2">
                  <c:v>42.579397290763602</c:v>
                </c:pt>
                <c:pt idx="3">
                  <c:v>41.991738433724699</c:v>
                </c:pt>
                <c:pt idx="4">
                  <c:v>41.396588273203001</c:v>
                </c:pt>
                <c:pt idx="5">
                  <c:v>40.806972283083198</c:v>
                </c:pt>
                <c:pt idx="6">
                  <c:v>40.203355822418999</c:v>
                </c:pt>
                <c:pt idx="7">
                  <c:v>39.608620693886003</c:v>
                </c:pt>
                <c:pt idx="8">
                  <c:v>39.014308257634703</c:v>
                </c:pt>
                <c:pt idx="9">
                  <c:v>38.405316453719799</c:v>
                </c:pt>
                <c:pt idx="10">
                  <c:v>37.823863914351698</c:v>
                </c:pt>
                <c:pt idx="11">
                  <c:v>37.238811185550198</c:v>
                </c:pt>
                <c:pt idx="12">
                  <c:v>36.6505950935694</c:v>
                </c:pt>
                <c:pt idx="13">
                  <c:v>36.076784667700302</c:v>
                </c:pt>
              </c:numCache>
            </c:numRef>
          </c:xVal>
          <c:yVal>
            <c:numRef>
              <c:f>HEVC结果!$C$32:$C$45</c:f>
              <c:numCache>
                <c:formatCode>General</c:formatCode>
                <c:ptCount val="14"/>
                <c:pt idx="0">
                  <c:v>59.210188172810597</c:v>
                </c:pt>
                <c:pt idx="1">
                  <c:v>69.225376406307404</c:v>
                </c:pt>
                <c:pt idx="2">
                  <c:v>28.180294450736099</c:v>
                </c:pt>
                <c:pt idx="3">
                  <c:v>31.706745226760699</c:v>
                </c:pt>
                <c:pt idx="4">
                  <c:v>35.611325463975398</c:v>
                </c:pt>
                <c:pt idx="5">
                  <c:v>39.922475645287598</c:v>
                </c:pt>
                <c:pt idx="6">
                  <c:v>44.749771604094597</c:v>
                </c:pt>
                <c:pt idx="7">
                  <c:v>50.158842785957297</c:v>
                </c:pt>
                <c:pt idx="8">
                  <c:v>56.1525129982669</c:v>
                </c:pt>
                <c:pt idx="9">
                  <c:v>62.968661430075301</c:v>
                </c:pt>
                <c:pt idx="10">
                  <c:v>70.724664044202896</c:v>
                </c:pt>
                <c:pt idx="11">
                  <c:v>78.994285714285695</c:v>
                </c:pt>
                <c:pt idx="12">
                  <c:v>88.538449495452696</c:v>
                </c:pt>
                <c:pt idx="13">
                  <c:v>98.904558246021296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EC-43B8-8BE5-047B0CE2D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 JPEG-HEVC-</a:t>
            </a:r>
            <a:r>
              <a:rPr lang="zh-CN" altLang="en-US"/>
              <a:t>仿</a:t>
            </a:r>
            <a:r>
              <a:rPr lang="en-US" altLang="zh-CN"/>
              <a:t>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JPEG结果!$E$22:$E$32</c:f>
              <c:numCache>
                <c:formatCode>0.00_);[Red]\(0.00\)</c:formatCode>
                <c:ptCount val="11"/>
                <c:pt idx="0">
                  <c:v>34.102138549576999</c:v>
                </c:pt>
                <c:pt idx="1">
                  <c:v>34.415083710117003</c:v>
                </c:pt>
                <c:pt idx="2">
                  <c:v>34.764178362169503</c:v>
                </c:pt>
                <c:pt idx="3">
                  <c:v>35.123052864205697</c:v>
                </c:pt>
                <c:pt idx="4">
                  <c:v>35.564087227115202</c:v>
                </c:pt>
                <c:pt idx="5">
                  <c:v>36.007722831550801</c:v>
                </c:pt>
                <c:pt idx="6">
                  <c:v>36.555575884872503</c:v>
                </c:pt>
                <c:pt idx="7">
                  <c:v>37.110354343789901</c:v>
                </c:pt>
                <c:pt idx="8">
                  <c:v>37.800566710369701</c:v>
                </c:pt>
                <c:pt idx="9">
                  <c:v>38.546509946525703</c:v>
                </c:pt>
                <c:pt idx="10">
                  <c:v>39.478519497319901</c:v>
                </c:pt>
              </c:numCache>
            </c:numRef>
          </c:xVal>
          <c:yVal>
            <c:numRef>
              <c:f>JPEG结果!$C$22:$C$32</c:f>
              <c:numCache>
                <c:formatCode>General</c:formatCode>
                <c:ptCount val="11"/>
                <c:pt idx="0">
                  <c:v>8.9584737415107103</c:v>
                </c:pt>
                <c:pt idx="1">
                  <c:v>8.6038994717995703</c:v>
                </c:pt>
                <c:pt idx="2">
                  <c:v>8.2147389382692904</c:v>
                </c:pt>
                <c:pt idx="3">
                  <c:v>7.8863097577363401</c:v>
                </c:pt>
                <c:pt idx="4">
                  <c:v>7.4436503178700004</c:v>
                </c:pt>
                <c:pt idx="5">
                  <c:v>7.1529758071934504</c:v>
                </c:pt>
                <c:pt idx="6">
                  <c:v>6.6848057357283803</c:v>
                </c:pt>
                <c:pt idx="7">
                  <c:v>6.3250558963393599</c:v>
                </c:pt>
                <c:pt idx="8">
                  <c:v>5.9814636932422998</c:v>
                </c:pt>
                <c:pt idx="9">
                  <c:v>5.5341306082579598</c:v>
                </c:pt>
                <c:pt idx="10">
                  <c:v>5.0535386874999499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B9-4243-9338-A83CD5B6AAB6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HEVC结果!$E$46:$E$59</c:f>
              <c:numCache>
                <c:formatCode>General</c:formatCode>
                <c:ptCount val="14"/>
                <c:pt idx="0">
                  <c:v>35.468827628392297</c:v>
                </c:pt>
                <c:pt idx="1">
                  <c:v>34.887241711342597</c:v>
                </c:pt>
                <c:pt idx="2">
                  <c:v>34.3058911634308</c:v>
                </c:pt>
                <c:pt idx="3">
                  <c:v>33.711874423978301</c:v>
                </c:pt>
                <c:pt idx="4">
                  <c:v>39.416083472710298</c:v>
                </c:pt>
                <c:pt idx="5">
                  <c:v>38.701227769114404</c:v>
                </c:pt>
                <c:pt idx="6">
                  <c:v>37.9877565549777</c:v>
                </c:pt>
                <c:pt idx="7">
                  <c:v>37.2935926083628</c:v>
                </c:pt>
                <c:pt idx="8">
                  <c:v>36.591497884579901</c:v>
                </c:pt>
                <c:pt idx="9">
                  <c:v>35.886231128643303</c:v>
                </c:pt>
                <c:pt idx="10">
                  <c:v>35.211745336410502</c:v>
                </c:pt>
                <c:pt idx="11">
                  <c:v>34.543016638942397</c:v>
                </c:pt>
                <c:pt idx="12">
                  <c:v>33.877830329075898</c:v>
                </c:pt>
                <c:pt idx="13">
                  <c:v>33.224073984424301</c:v>
                </c:pt>
              </c:numCache>
            </c:numRef>
          </c:xVal>
          <c:yVal>
            <c:numRef>
              <c:f>HEVC结果!$C$46:$C$59</c:f>
              <c:numCache>
                <c:formatCode>General</c:formatCode>
                <c:ptCount val="14"/>
                <c:pt idx="0">
                  <c:v>111.292400171748</c:v>
                </c:pt>
                <c:pt idx="1">
                  <c:v>124.299158790737</c:v>
                </c:pt>
                <c:pt idx="2">
                  <c:v>139.27995701235901</c:v>
                </c:pt>
                <c:pt idx="3">
                  <c:v>156.655754218081</c:v>
                </c:pt>
                <c:pt idx="4">
                  <c:v>14.4605199538811</c:v>
                </c:pt>
                <c:pt idx="5">
                  <c:v>16.012313996617799</c:v>
                </c:pt>
                <c:pt idx="6">
                  <c:v>17.820454792856701</c:v>
                </c:pt>
                <c:pt idx="7">
                  <c:v>19.875268377466501</c:v>
                </c:pt>
                <c:pt idx="8">
                  <c:v>22.276573573068099</c:v>
                </c:pt>
                <c:pt idx="9">
                  <c:v>25.0005023570593</c:v>
                </c:pt>
                <c:pt idx="10">
                  <c:v>28.149435273675099</c:v>
                </c:pt>
                <c:pt idx="11">
                  <c:v>31.860528243133199</c:v>
                </c:pt>
                <c:pt idx="12">
                  <c:v>36.180904522613098</c:v>
                </c:pt>
                <c:pt idx="13">
                  <c:v>41.258008462773098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B9-4243-9338-A83CD5B6AAB6}"/>
            </c:ext>
          </c:extLst>
        </c:ser>
        <c:ser>
          <c:idx val="2"/>
          <c:order val="2"/>
          <c:tx>
            <c:v>仿HEVC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'未转yuv的PEG-HEVC-ME-COMPARE'!$V$22:$V$31</c:f>
              <c:numCache>
                <c:formatCode>General</c:formatCode>
                <c:ptCount val="10"/>
                <c:pt idx="0">
                  <c:v>40.700000000000003</c:v>
                </c:pt>
                <c:pt idx="1">
                  <c:v>40.57</c:v>
                </c:pt>
                <c:pt idx="2">
                  <c:v>42.61</c:v>
                </c:pt>
                <c:pt idx="3">
                  <c:v>38.9</c:v>
                </c:pt>
                <c:pt idx="4">
                  <c:v>37.67</c:v>
                </c:pt>
                <c:pt idx="5">
                  <c:v>36.74</c:v>
                </c:pt>
                <c:pt idx="6">
                  <c:v>35.869999999999997</c:v>
                </c:pt>
                <c:pt idx="7">
                  <c:v>35.119999999999997</c:v>
                </c:pt>
              </c:numCache>
            </c:numRef>
          </c:xVal>
          <c:yVal>
            <c:numRef>
              <c:f>'未转yuv的PEG-HEVC-ME-COMPARE'!$W$22:$W$31</c:f>
              <c:numCache>
                <c:formatCode>General</c:formatCode>
                <c:ptCount val="10"/>
                <c:pt idx="0">
                  <c:v>8.8815789473684212</c:v>
                </c:pt>
                <c:pt idx="1">
                  <c:v>8.8945827232796493</c:v>
                </c:pt>
                <c:pt idx="2">
                  <c:v>7.2149643705463182</c:v>
                </c:pt>
                <c:pt idx="3">
                  <c:v>10.210084033613445</c:v>
                </c:pt>
                <c:pt idx="4">
                  <c:v>11.270871985157699</c:v>
                </c:pt>
                <c:pt idx="5">
                  <c:v>12.898089171974522</c:v>
                </c:pt>
                <c:pt idx="6">
                  <c:v>14.395734597156398</c:v>
                </c:pt>
                <c:pt idx="7">
                  <c:v>15.8203125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B9-4243-9338-A83CD5B6A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  <c:majorUnit val="4"/>
        <c:min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'flower'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JPEG结果!$E$33:$E$42</c:f>
              <c:numCache>
                <c:formatCode>0.00_);[Red]\(0.00\)</c:formatCode>
                <c:ptCount val="10"/>
                <c:pt idx="0">
                  <c:v>40.488302639362601</c:v>
                </c:pt>
                <c:pt idx="1">
                  <c:v>39.795919438577698</c:v>
                </c:pt>
                <c:pt idx="2">
                  <c:v>39.986784216869097</c:v>
                </c:pt>
                <c:pt idx="3">
                  <c:v>40.168685611788597</c:v>
                </c:pt>
                <c:pt idx="4">
                  <c:v>40.379989784540498</c:v>
                </c:pt>
                <c:pt idx="5">
                  <c:v>40.606415789460797</c:v>
                </c:pt>
                <c:pt idx="6">
                  <c:v>40.854051718871503</c:v>
                </c:pt>
                <c:pt idx="7">
                  <c:v>41.109592462598101</c:v>
                </c:pt>
                <c:pt idx="8">
                  <c:v>41.335913746257297</c:v>
                </c:pt>
                <c:pt idx="9">
                  <c:v>41.646477501393001</c:v>
                </c:pt>
              </c:numCache>
            </c:numRef>
          </c:xVal>
          <c:yVal>
            <c:numRef>
              <c:f>JPEG结果!$C$33:$C$42</c:f>
              <c:numCache>
                <c:formatCode>General</c:formatCode>
                <c:ptCount val="10"/>
                <c:pt idx="0">
                  <c:v>4.6101172390282903</c:v>
                </c:pt>
                <c:pt idx="1">
                  <c:v>23.2847485795136</c:v>
                </c:pt>
                <c:pt idx="2">
                  <c:v>22.5261534116216</c:v>
                </c:pt>
                <c:pt idx="3">
                  <c:v>21.8718027149894</c:v>
                </c:pt>
                <c:pt idx="4">
                  <c:v>21.0098990506233</c:v>
                </c:pt>
                <c:pt idx="5">
                  <c:v>20.405900548789099</c:v>
                </c:pt>
                <c:pt idx="6">
                  <c:v>19.647589058142401</c:v>
                </c:pt>
                <c:pt idx="7">
                  <c:v>18.8577092951701</c:v>
                </c:pt>
                <c:pt idx="8">
                  <c:v>18.196337214914401</c:v>
                </c:pt>
                <c:pt idx="9">
                  <c:v>17.1384176277089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01-4DD3-9DC1-ECA93539790F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HEVC结果!$E$60:$E$73</c:f>
              <c:numCache>
                <c:formatCode>General</c:formatCode>
                <c:ptCount val="14"/>
                <c:pt idx="0">
                  <c:v>32.598455153107601</c:v>
                </c:pt>
                <c:pt idx="1">
                  <c:v>31.986108923100499</c:v>
                </c:pt>
                <c:pt idx="2">
                  <c:v>31.4003991238786</c:v>
                </c:pt>
                <c:pt idx="3">
                  <c:v>30.847278772452299</c:v>
                </c:pt>
                <c:pt idx="4">
                  <c:v>30.287550225599901</c:v>
                </c:pt>
                <c:pt idx="5">
                  <c:v>29.737936137105599</c:v>
                </c:pt>
                <c:pt idx="6">
                  <c:v>41.196224318491197</c:v>
                </c:pt>
                <c:pt idx="7">
                  <c:v>40.5798556654969</c:v>
                </c:pt>
                <c:pt idx="8">
                  <c:v>39.9978701032801</c:v>
                </c:pt>
                <c:pt idx="9">
                  <c:v>39.460518670384403</c:v>
                </c:pt>
                <c:pt idx="10">
                  <c:v>38.967940896510299</c:v>
                </c:pt>
                <c:pt idx="11">
                  <c:v>38.561528418329999</c:v>
                </c:pt>
                <c:pt idx="12">
                  <c:v>38.162560982445903</c:v>
                </c:pt>
                <c:pt idx="13">
                  <c:v>37.808545843492801</c:v>
                </c:pt>
              </c:numCache>
            </c:numRef>
          </c:xVal>
          <c:yVal>
            <c:numRef>
              <c:f>HEVC结果!$C$60:$C$73</c:f>
              <c:numCache>
                <c:formatCode>General</c:formatCode>
                <c:ptCount val="14"/>
                <c:pt idx="0">
                  <c:v>47.224583991254697</c:v>
                </c:pt>
                <c:pt idx="1">
                  <c:v>54.386179643650202</c:v>
                </c:pt>
                <c:pt idx="2">
                  <c:v>62.639586752726302</c:v>
                </c:pt>
                <c:pt idx="3">
                  <c:v>71.941713889210106</c:v>
                </c:pt>
                <c:pt idx="4">
                  <c:v>83.349634889797002</c:v>
                </c:pt>
                <c:pt idx="5">
                  <c:v>97.093803652255303</c:v>
                </c:pt>
                <c:pt idx="6">
                  <c:v>21.0527740738986</c:v>
                </c:pt>
                <c:pt idx="7">
                  <c:v>24.862613755810202</c:v>
                </c:pt>
                <c:pt idx="8">
                  <c:v>29.9397912184698</c:v>
                </c:pt>
                <c:pt idx="9">
                  <c:v>36.775955638057603</c:v>
                </c:pt>
                <c:pt idx="10">
                  <c:v>45.996864925615903</c:v>
                </c:pt>
                <c:pt idx="11">
                  <c:v>56.784511323493199</c:v>
                </c:pt>
                <c:pt idx="12">
                  <c:v>70.440365518100407</c:v>
                </c:pt>
                <c:pt idx="13">
                  <c:v>85.6812296843149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01-4DD3-9DC1-ECA935397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'shop'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JPEG结果!$E$43:$E$52</c:f>
              <c:numCache>
                <c:formatCode>0.00_);[Red]\(0.00\)</c:formatCode>
                <c:ptCount val="10"/>
                <c:pt idx="0">
                  <c:v>41.939125747141198</c:v>
                </c:pt>
                <c:pt idx="1">
                  <c:v>42.346507702768797</c:v>
                </c:pt>
                <c:pt idx="2">
                  <c:v>42.735787104847503</c:v>
                </c:pt>
                <c:pt idx="3">
                  <c:v>43.129114363103497</c:v>
                </c:pt>
                <c:pt idx="4">
                  <c:v>43.633326130642203</c:v>
                </c:pt>
                <c:pt idx="5">
                  <c:v>44.222102758006599</c:v>
                </c:pt>
                <c:pt idx="6">
                  <c:v>44.872576342288703</c:v>
                </c:pt>
                <c:pt idx="7">
                  <c:v>35.721416729456301</c:v>
                </c:pt>
                <c:pt idx="8">
                  <c:v>35.945488190717903</c:v>
                </c:pt>
                <c:pt idx="9">
                  <c:v>36.162041766156001</c:v>
                </c:pt>
              </c:numCache>
            </c:numRef>
          </c:xVal>
          <c:yVal>
            <c:numRef>
              <c:f>JPEG结果!$C$43:$C$52</c:f>
              <c:numCache>
                <c:formatCode>General</c:formatCode>
                <c:ptCount val="10"/>
                <c:pt idx="0">
                  <c:v>16.505392748643501</c:v>
                </c:pt>
                <c:pt idx="1">
                  <c:v>15.4487636369958</c:v>
                </c:pt>
                <c:pt idx="2">
                  <c:v>14.5101021174561</c:v>
                </c:pt>
                <c:pt idx="3">
                  <c:v>13.848619768477301</c:v>
                </c:pt>
                <c:pt idx="4">
                  <c:v>12.5441863560195</c:v>
                </c:pt>
                <c:pt idx="5">
                  <c:v>11.292333999531699</c:v>
                </c:pt>
                <c:pt idx="6">
                  <c:v>10.0811084552121</c:v>
                </c:pt>
                <c:pt idx="7">
                  <c:v>12.946136845128301</c:v>
                </c:pt>
                <c:pt idx="8">
                  <c:v>12.521361070016001</c:v>
                </c:pt>
                <c:pt idx="9">
                  <c:v>12.1602602195603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D-43A3-9BF6-1EA64031052A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HEVC结果!$E$74:$E$87</c:f>
              <c:numCache>
                <c:formatCode>General</c:formatCode>
                <c:ptCount val="14"/>
                <c:pt idx="0">
                  <c:v>37.463379967358499</c:v>
                </c:pt>
                <c:pt idx="1">
                  <c:v>37.115209285620203</c:v>
                </c:pt>
                <c:pt idx="2">
                  <c:v>36.784694538438799</c:v>
                </c:pt>
                <c:pt idx="3">
                  <c:v>36.437806664692403</c:v>
                </c:pt>
                <c:pt idx="4">
                  <c:v>36.083631001294698</c:v>
                </c:pt>
                <c:pt idx="5">
                  <c:v>35.690597513360999</c:v>
                </c:pt>
                <c:pt idx="6">
                  <c:v>35.306341169285197</c:v>
                </c:pt>
                <c:pt idx="7">
                  <c:v>34.958439858288102</c:v>
                </c:pt>
                <c:pt idx="8">
                  <c:v>42.774680048005202</c:v>
                </c:pt>
                <c:pt idx="9">
                  <c:v>42.302733924140199</c:v>
                </c:pt>
                <c:pt idx="10">
                  <c:v>41.868847440181298</c:v>
                </c:pt>
                <c:pt idx="11">
                  <c:v>41.499080816219397</c:v>
                </c:pt>
                <c:pt idx="12">
                  <c:v>41.1310337912929</c:v>
                </c:pt>
                <c:pt idx="13">
                  <c:v>40.785682238522398</c:v>
                </c:pt>
              </c:numCache>
            </c:numRef>
          </c:xVal>
          <c:yVal>
            <c:numRef>
              <c:f>HEVC结果!$C$74:$C$87</c:f>
              <c:numCache>
                <c:formatCode>General</c:formatCode>
                <c:ptCount val="14"/>
                <c:pt idx="0">
                  <c:v>103.09066503157</c:v>
                </c:pt>
                <c:pt idx="1">
                  <c:v>120.628272251309</c:v>
                </c:pt>
                <c:pt idx="2">
                  <c:v>138.54171306400599</c:v>
                </c:pt>
                <c:pt idx="3">
                  <c:v>156.502050366047</c:v>
                </c:pt>
                <c:pt idx="4">
                  <c:v>177.894706740256</c:v>
                </c:pt>
                <c:pt idx="5">
                  <c:v>200.045020419976</c:v>
                </c:pt>
                <c:pt idx="6">
                  <c:v>223.64106988783399</c:v>
                </c:pt>
                <c:pt idx="7">
                  <c:v>248.961459959179</c:v>
                </c:pt>
                <c:pt idx="8">
                  <c:v>28.3578279420882</c:v>
                </c:pt>
                <c:pt idx="9">
                  <c:v>35.626009369237302</c:v>
                </c:pt>
                <c:pt idx="10">
                  <c:v>45.2807115873143</c:v>
                </c:pt>
                <c:pt idx="11">
                  <c:v>56.214926667931799</c:v>
                </c:pt>
                <c:pt idx="12">
                  <c:v>69.3550365126261</c:v>
                </c:pt>
                <c:pt idx="13">
                  <c:v>83.839404843731003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FD-43A3-9BF6-1EA640310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"bar"</a:t>
            </a:r>
            <a:r>
              <a:rPr lang="zh-CN"/>
              <a:t>色度降采样对压缩率的影响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'降采样-压缩率变化 弃用'!$J$2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'降采样-压缩率变化 弃用'!$K$2:$K$12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弃用'!$C$2:$C$12</c:f>
              <c:numCache>
                <c:formatCode>General</c:formatCode>
                <c:ptCount val="11"/>
                <c:pt idx="0">
                  <c:v>12.0892703061962</c:v>
                </c:pt>
                <c:pt idx="1">
                  <c:v>11.2472744235157</c:v>
                </c:pt>
                <c:pt idx="2">
                  <c:v>10.516155098411501</c:v>
                </c:pt>
                <c:pt idx="3">
                  <c:v>9.5506989383506404</c:v>
                </c:pt>
                <c:pt idx="4">
                  <c:v>8.5537026444317306</c:v>
                </c:pt>
                <c:pt idx="5">
                  <c:v>7.6111985239599598</c:v>
                </c:pt>
                <c:pt idx="6">
                  <c:v>6.6755018054802902</c:v>
                </c:pt>
                <c:pt idx="7">
                  <c:v>5.9916032026875898</c:v>
                </c:pt>
                <c:pt idx="8">
                  <c:v>5.1540250493173403</c:v>
                </c:pt>
                <c:pt idx="9">
                  <c:v>4.1319750492684602</c:v>
                </c:pt>
                <c:pt idx="10">
                  <c:v>3.7782282995421799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07-4541-ACC9-B97F4FFDEE85}"/>
            </c:ext>
          </c:extLst>
        </c:ser>
        <c:ser>
          <c:idx val="1"/>
          <c:order val="1"/>
          <c:tx>
            <c:strRef>
              <c:f>'降采样-压缩率变化 弃用'!$J$112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'降采样-压缩率变化 弃用'!$K$112:$K$122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弃用'!$C$112:$C$122</c:f>
              <c:numCache>
                <c:formatCode>General</c:formatCode>
                <c:ptCount val="11"/>
                <c:pt idx="0">
                  <c:v>11.2448144030802</c:v>
                </c:pt>
                <c:pt idx="1">
                  <c:v>10.452807108339</c:v>
                </c:pt>
                <c:pt idx="2">
                  <c:v>9.8019998550373</c:v>
                </c:pt>
                <c:pt idx="3">
                  <c:v>8.9156035961665001</c:v>
                </c:pt>
                <c:pt idx="4">
                  <c:v>7.99416064397405</c:v>
                </c:pt>
                <c:pt idx="5">
                  <c:v>7.1028698983232799</c:v>
                </c:pt>
                <c:pt idx="6">
                  <c:v>6.1848966748027703</c:v>
                </c:pt>
                <c:pt idx="7">
                  <c:v>5.5541319838468803</c:v>
                </c:pt>
                <c:pt idx="8">
                  <c:v>4.7348123025353903</c:v>
                </c:pt>
                <c:pt idx="9">
                  <c:v>3.5615321550109198</c:v>
                </c:pt>
                <c:pt idx="10">
                  <c:v>3.2379964896720201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07-4541-ACC9-B97F4FFDEE85}"/>
            </c:ext>
          </c:extLst>
        </c:ser>
        <c:ser>
          <c:idx val="2"/>
          <c:order val="2"/>
          <c:tx>
            <c:strRef>
              <c:f>'降采样-压缩率变化 弃用'!$J$222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'降采样-压缩率变化 弃用'!$K$222:$K$232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弃用'!$C$222:$C$232</c:f>
              <c:numCache>
                <c:formatCode>General</c:formatCode>
                <c:ptCount val="11"/>
                <c:pt idx="0">
                  <c:v>9.9568963447524101</c:v>
                </c:pt>
                <c:pt idx="1">
                  <c:v>9.2480736896406697</c:v>
                </c:pt>
                <c:pt idx="2">
                  <c:v>8.6909506984697806</c:v>
                </c:pt>
                <c:pt idx="3">
                  <c:v>7.9289595407403102</c:v>
                </c:pt>
                <c:pt idx="4">
                  <c:v>7.1123143833204496</c:v>
                </c:pt>
                <c:pt idx="5">
                  <c:v>6.2980901624738799</c:v>
                </c:pt>
                <c:pt idx="6">
                  <c:v>5.4190277493455801</c:v>
                </c:pt>
                <c:pt idx="7">
                  <c:v>4.86649372756772</c:v>
                </c:pt>
                <c:pt idx="8">
                  <c:v>4.0283006772114298</c:v>
                </c:pt>
                <c:pt idx="9">
                  <c:v>2.7505813282538099</c:v>
                </c:pt>
                <c:pt idx="10">
                  <c:v>2.4568798005680899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07-4541-ACC9-B97F4FFDE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"pcgame"</a:t>
            </a:r>
            <a:r>
              <a:rPr lang="zh-CN"/>
              <a:t>色度降采样对压缩率的影响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'降采样-压缩率变化 弃用'!$J$57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'降采样-压缩率变化 弃用'!$K$57:$K$67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弃用'!$C$57:$C$67</c:f>
              <c:numCache>
                <c:formatCode>General</c:formatCode>
                <c:ptCount val="11"/>
                <c:pt idx="0">
                  <c:v>13.882429603709801</c:v>
                </c:pt>
                <c:pt idx="1">
                  <c:v>13.412388693646101</c:v>
                </c:pt>
                <c:pt idx="2">
                  <c:v>12.821871051649801</c:v>
                </c:pt>
                <c:pt idx="3">
                  <c:v>11.9426137138096</c:v>
                </c:pt>
                <c:pt idx="4">
                  <c:v>11.0107916661504</c:v>
                </c:pt>
                <c:pt idx="5">
                  <c:v>10.097652191980099</c:v>
                </c:pt>
                <c:pt idx="6">
                  <c:v>9.3098292868719792</c:v>
                </c:pt>
                <c:pt idx="7">
                  <c:v>8.4916670875552995</c:v>
                </c:pt>
                <c:pt idx="8">
                  <c:v>7.6332018759064804</c:v>
                </c:pt>
                <c:pt idx="9">
                  <c:v>6.2880125663214104</c:v>
                </c:pt>
                <c:pt idx="10">
                  <c:v>5.9546566222677404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33-411A-8CC0-BCBECE56A35D}"/>
            </c:ext>
          </c:extLst>
        </c:ser>
        <c:ser>
          <c:idx val="4"/>
          <c:order val="1"/>
          <c:tx>
            <c:strRef>
              <c:f>'降采样-压缩率变化 弃用'!$J$167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'降采样-压缩率变化 弃用'!$K$167:$K$177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弃用'!$C$167:$C$177</c:f>
              <c:numCache>
                <c:formatCode>General</c:formatCode>
                <c:ptCount val="11"/>
                <c:pt idx="0">
                  <c:v>12.6397919375813</c:v>
                </c:pt>
                <c:pt idx="1">
                  <c:v>12.2337004938082</c:v>
                </c:pt>
                <c:pt idx="2">
                  <c:v>11.725809674245401</c:v>
                </c:pt>
                <c:pt idx="3">
                  <c:v>10.9556038103691</c:v>
                </c:pt>
                <c:pt idx="4">
                  <c:v>10.1056243075613</c:v>
                </c:pt>
                <c:pt idx="5">
                  <c:v>9.2693088249756403</c:v>
                </c:pt>
                <c:pt idx="6">
                  <c:v>8.4907282797703694</c:v>
                </c:pt>
                <c:pt idx="7">
                  <c:v>7.7496415317401697</c:v>
                </c:pt>
                <c:pt idx="8">
                  <c:v>6.9283972067225799</c:v>
                </c:pt>
                <c:pt idx="9">
                  <c:v>5.5797833313301304</c:v>
                </c:pt>
                <c:pt idx="10">
                  <c:v>5.2621828821718699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33-411A-8CC0-BCBECE56A35D}"/>
            </c:ext>
          </c:extLst>
        </c:ser>
        <c:ser>
          <c:idx val="5"/>
          <c:order val="2"/>
          <c:tx>
            <c:strRef>
              <c:f>'降采样-压缩率变化 弃用'!$J$277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'降采样-压缩率变化 弃用'!$K$277:$K$287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弃用'!$C$277:$C$287</c:f>
              <c:numCache>
                <c:formatCode>General</c:formatCode>
                <c:ptCount val="11"/>
                <c:pt idx="0">
                  <c:v>11.5798506726432</c:v>
                </c:pt>
                <c:pt idx="1">
                  <c:v>11.236446199336401</c:v>
                </c:pt>
                <c:pt idx="2">
                  <c:v>10.764808793475501</c:v>
                </c:pt>
                <c:pt idx="3">
                  <c:v>10.0683165576612</c:v>
                </c:pt>
                <c:pt idx="4">
                  <c:v>9.3937719147239793</c:v>
                </c:pt>
                <c:pt idx="5">
                  <c:v>8.8369033904059506</c:v>
                </c:pt>
                <c:pt idx="6">
                  <c:v>8.0475650837511807</c:v>
                </c:pt>
                <c:pt idx="7">
                  <c:v>7.4491856045637803</c:v>
                </c:pt>
                <c:pt idx="8">
                  <c:v>6.6747425672565504</c:v>
                </c:pt>
                <c:pt idx="9">
                  <c:v>5.1447413363194396</c:v>
                </c:pt>
                <c:pt idx="10">
                  <c:v>4.8386080601465897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733-411A-8CC0-BCBECE56A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"wedding"</a:t>
            </a:r>
            <a:r>
              <a:rPr lang="zh-CN" altLang="en-US"/>
              <a:t>色度降采样对压缩率的影响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strRef>
              <c:f>'降采样-压缩率变化 弃用'!$J$101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弃用'!$K$101:$K$111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弃用'!$C$101:$C$111</c:f>
              <c:numCache>
                <c:formatCode>General</c:formatCode>
                <c:ptCount val="11"/>
                <c:pt idx="0">
                  <c:v>22.145171051226399</c:v>
                </c:pt>
                <c:pt idx="1">
                  <c:v>20.630372492836699</c:v>
                </c:pt>
                <c:pt idx="2">
                  <c:v>19.496478862203901</c:v>
                </c:pt>
                <c:pt idx="3">
                  <c:v>17.433804901015598</c:v>
                </c:pt>
                <c:pt idx="4">
                  <c:v>15.5735693936101</c:v>
                </c:pt>
                <c:pt idx="5">
                  <c:v>13.649378945359</c:v>
                </c:pt>
                <c:pt idx="6">
                  <c:v>11.610844104334801</c:v>
                </c:pt>
                <c:pt idx="7">
                  <c:v>10.071576711421701</c:v>
                </c:pt>
                <c:pt idx="8">
                  <c:v>8.1045693730970694</c:v>
                </c:pt>
                <c:pt idx="9">
                  <c:v>5.9019416978328803</c:v>
                </c:pt>
                <c:pt idx="10">
                  <c:v>5.4339717574628903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4C-45BA-84DA-573C8BB02102}"/>
            </c:ext>
          </c:extLst>
        </c:ser>
        <c:ser>
          <c:idx val="7"/>
          <c:order val="1"/>
          <c:tx>
            <c:strRef>
              <c:f>'降采样-压缩率变化 弃用'!$J$211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弃用'!$K$211:$K$221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弃用'!$C$211:$C$221</c:f>
              <c:numCache>
                <c:formatCode>General</c:formatCode>
                <c:ptCount val="11"/>
                <c:pt idx="0">
                  <c:v>20.864665436860601</c:v>
                </c:pt>
                <c:pt idx="1">
                  <c:v>19.425248951577402</c:v>
                </c:pt>
                <c:pt idx="2">
                  <c:v>18.388901862597599</c:v>
                </c:pt>
                <c:pt idx="3">
                  <c:v>16.488331102482199</c:v>
                </c:pt>
                <c:pt idx="4">
                  <c:v>14.72072089127</c:v>
                </c:pt>
                <c:pt idx="5">
                  <c:v>12.884918506121601</c:v>
                </c:pt>
                <c:pt idx="6">
                  <c:v>10.882107008785001</c:v>
                </c:pt>
                <c:pt idx="7">
                  <c:v>9.4700931207555605</c:v>
                </c:pt>
                <c:pt idx="8">
                  <c:v>7.6403362789469504</c:v>
                </c:pt>
                <c:pt idx="9">
                  <c:v>5.1784762919552501</c:v>
                </c:pt>
                <c:pt idx="10">
                  <c:v>4.76620992531344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4C-45BA-84DA-573C8BB02102}"/>
            </c:ext>
          </c:extLst>
        </c:ser>
        <c:ser>
          <c:idx val="8"/>
          <c:order val="2"/>
          <c:tx>
            <c:strRef>
              <c:f>'降采样-压缩率变化 弃用'!$J$321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弃用'!$K$321:$K$331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弃用'!$C$321:$C$331</c:f>
              <c:numCache>
                <c:formatCode>General</c:formatCode>
                <c:ptCount val="11"/>
                <c:pt idx="0">
                  <c:v>18.933643374990101</c:v>
                </c:pt>
                <c:pt idx="1">
                  <c:v>17.617821731705501</c:v>
                </c:pt>
                <c:pt idx="2">
                  <c:v>16.6984755876598</c:v>
                </c:pt>
                <c:pt idx="3">
                  <c:v>15.0482959149856</c:v>
                </c:pt>
                <c:pt idx="4">
                  <c:v>13.3753606797766</c:v>
                </c:pt>
                <c:pt idx="5">
                  <c:v>11.611212525058001</c:v>
                </c:pt>
                <c:pt idx="6">
                  <c:v>9.6890404878162695</c:v>
                </c:pt>
                <c:pt idx="7">
                  <c:v>8.4763014286590206</c:v>
                </c:pt>
                <c:pt idx="8">
                  <c:v>6.8003979142298103</c:v>
                </c:pt>
                <c:pt idx="9">
                  <c:v>4.0505827986969498</c:v>
                </c:pt>
                <c:pt idx="10">
                  <c:v>3.69987301908282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4C-45BA-84DA-573C8BB02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"bar"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'降采样-压缩率变化 弃用'!$J$2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'降采样-压缩率变化 弃用'!$E$2:$E$12</c:f>
              <c:numCache>
                <c:formatCode>General</c:formatCode>
                <c:ptCount val="11"/>
                <c:pt idx="0">
                  <c:v>33.8843890109436</c:v>
                </c:pt>
                <c:pt idx="1">
                  <c:v>34.128210227966797</c:v>
                </c:pt>
                <c:pt idx="2">
                  <c:v>34.138430274862401</c:v>
                </c:pt>
                <c:pt idx="3">
                  <c:v>34.396412237799801</c:v>
                </c:pt>
                <c:pt idx="4">
                  <c:v>34.604394394113399</c:v>
                </c:pt>
                <c:pt idx="5">
                  <c:v>34.605892597870003</c:v>
                </c:pt>
                <c:pt idx="6">
                  <c:v>34.915414239187299</c:v>
                </c:pt>
                <c:pt idx="7">
                  <c:v>35.299612448428</c:v>
                </c:pt>
                <c:pt idx="8">
                  <c:v>35.313098612619903</c:v>
                </c:pt>
                <c:pt idx="9">
                  <c:v>35.318821924376103</c:v>
                </c:pt>
                <c:pt idx="10">
                  <c:v>35.606841372292699</c:v>
                </c:pt>
              </c:numCache>
            </c:numRef>
          </c:xVal>
          <c:yVal>
            <c:numRef>
              <c:f>'降采样-压缩率变化 弃用'!$C$2:$C$12</c:f>
              <c:numCache>
                <c:formatCode>General</c:formatCode>
                <c:ptCount val="11"/>
                <c:pt idx="0">
                  <c:v>12.0892703061962</c:v>
                </c:pt>
                <c:pt idx="1">
                  <c:v>11.2472744235157</c:v>
                </c:pt>
                <c:pt idx="2">
                  <c:v>10.516155098411501</c:v>
                </c:pt>
                <c:pt idx="3">
                  <c:v>9.5506989383506404</c:v>
                </c:pt>
                <c:pt idx="4">
                  <c:v>8.5537026444317306</c:v>
                </c:pt>
                <c:pt idx="5">
                  <c:v>7.6111985239599598</c:v>
                </c:pt>
                <c:pt idx="6">
                  <c:v>6.6755018054802902</c:v>
                </c:pt>
                <c:pt idx="7">
                  <c:v>5.9916032026875898</c:v>
                </c:pt>
                <c:pt idx="8">
                  <c:v>5.1540250493173403</c:v>
                </c:pt>
                <c:pt idx="9">
                  <c:v>4.1319750492684602</c:v>
                </c:pt>
                <c:pt idx="10">
                  <c:v>3.7782282995421799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BA-46C3-B75F-7C4FF3480263}"/>
            </c:ext>
          </c:extLst>
        </c:ser>
        <c:ser>
          <c:idx val="1"/>
          <c:order val="1"/>
          <c:tx>
            <c:strRef>
              <c:f>'降采样-压缩率变化 弃用'!$J$112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'降采样-压缩率变化 弃用'!$E$112:$E$122</c:f>
              <c:numCache>
                <c:formatCode>General</c:formatCode>
                <c:ptCount val="11"/>
                <c:pt idx="0">
                  <c:v>37.4791412194297</c:v>
                </c:pt>
                <c:pt idx="1">
                  <c:v>37.7216521985859</c:v>
                </c:pt>
                <c:pt idx="2">
                  <c:v>37.9824381930909</c:v>
                </c:pt>
                <c:pt idx="3">
                  <c:v>38.357237169161301</c:v>
                </c:pt>
                <c:pt idx="4">
                  <c:v>38.8000120051232</c:v>
                </c:pt>
                <c:pt idx="5">
                  <c:v>39.2949070700354</c:v>
                </c:pt>
                <c:pt idx="6">
                  <c:v>39.970365334703899</c:v>
                </c:pt>
                <c:pt idx="7">
                  <c:v>40.744769961064002</c:v>
                </c:pt>
                <c:pt idx="8">
                  <c:v>41.407337121278303</c:v>
                </c:pt>
                <c:pt idx="9">
                  <c:v>41.5613954601411</c:v>
                </c:pt>
                <c:pt idx="10">
                  <c:v>42.506881816343402</c:v>
                </c:pt>
              </c:numCache>
            </c:numRef>
          </c:xVal>
          <c:yVal>
            <c:numRef>
              <c:f>'降采样-压缩率变化 弃用'!$C$112:$C$122</c:f>
              <c:numCache>
                <c:formatCode>General</c:formatCode>
                <c:ptCount val="11"/>
                <c:pt idx="0">
                  <c:v>11.2448144030802</c:v>
                </c:pt>
                <c:pt idx="1">
                  <c:v>10.452807108339</c:v>
                </c:pt>
                <c:pt idx="2">
                  <c:v>9.8019998550373</c:v>
                </c:pt>
                <c:pt idx="3">
                  <c:v>8.9156035961665001</c:v>
                </c:pt>
                <c:pt idx="4">
                  <c:v>7.99416064397405</c:v>
                </c:pt>
                <c:pt idx="5">
                  <c:v>7.1028698983232799</c:v>
                </c:pt>
                <c:pt idx="6">
                  <c:v>6.1848966748027703</c:v>
                </c:pt>
                <c:pt idx="7">
                  <c:v>5.5541319838468803</c:v>
                </c:pt>
                <c:pt idx="8">
                  <c:v>4.7348123025353903</c:v>
                </c:pt>
                <c:pt idx="9">
                  <c:v>3.5615321550109198</c:v>
                </c:pt>
                <c:pt idx="10">
                  <c:v>3.2379964896720201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BA-46C3-B75F-7C4FF3480263}"/>
            </c:ext>
          </c:extLst>
        </c:ser>
        <c:ser>
          <c:idx val="2"/>
          <c:order val="2"/>
          <c:tx>
            <c:strRef>
              <c:f>'降采样-压缩率变化 弃用'!$J$222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'降采样-压缩率变化 弃用'!$E$222:$E$232</c:f>
              <c:numCache>
                <c:formatCode>General</c:formatCode>
                <c:ptCount val="11"/>
                <c:pt idx="0">
                  <c:v>38.765656649215899</c:v>
                </c:pt>
                <c:pt idx="1">
                  <c:v>39.0863054380563</c:v>
                </c:pt>
                <c:pt idx="2">
                  <c:v>39.386333113895198</c:v>
                </c:pt>
                <c:pt idx="3">
                  <c:v>39.913271642092099</c:v>
                </c:pt>
                <c:pt idx="4">
                  <c:v>40.517317548885799</c:v>
                </c:pt>
                <c:pt idx="5">
                  <c:v>41.152835882615797</c:v>
                </c:pt>
                <c:pt idx="6">
                  <c:v>42.123333935343801</c:v>
                </c:pt>
                <c:pt idx="7">
                  <c:v>43.508533669580999</c:v>
                </c:pt>
                <c:pt idx="8">
                  <c:v>44.508881202993798</c:v>
                </c:pt>
                <c:pt idx="9">
                  <c:v>44.264494725483402</c:v>
                </c:pt>
                <c:pt idx="10">
                  <c:v>47.670697313117898</c:v>
                </c:pt>
              </c:numCache>
            </c:numRef>
          </c:xVal>
          <c:yVal>
            <c:numRef>
              <c:f>'降采样-压缩率变化 弃用'!$C$222:$C$232</c:f>
              <c:numCache>
                <c:formatCode>General</c:formatCode>
                <c:ptCount val="11"/>
                <c:pt idx="0">
                  <c:v>9.9568963447524101</c:v>
                </c:pt>
                <c:pt idx="1">
                  <c:v>9.2480736896406697</c:v>
                </c:pt>
                <c:pt idx="2">
                  <c:v>8.6909506984697806</c:v>
                </c:pt>
                <c:pt idx="3">
                  <c:v>7.9289595407403102</c:v>
                </c:pt>
                <c:pt idx="4">
                  <c:v>7.1123143833204496</c:v>
                </c:pt>
                <c:pt idx="5">
                  <c:v>6.2980901624738799</c:v>
                </c:pt>
                <c:pt idx="6">
                  <c:v>5.4190277493455801</c:v>
                </c:pt>
                <c:pt idx="7">
                  <c:v>4.86649372756772</c:v>
                </c:pt>
                <c:pt idx="8">
                  <c:v>4.0283006772114298</c:v>
                </c:pt>
                <c:pt idx="9">
                  <c:v>2.7505813282538099</c:v>
                </c:pt>
                <c:pt idx="10">
                  <c:v>2.4568798005680899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BA-46C3-B75F-7C4FF3480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42"/>
          <c:min val="3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"pcgame"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'降采样-压缩率变化 弃用'!$J$57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'降采样-压缩率变化 弃用'!$E$57:$E$67</c:f>
              <c:numCache>
                <c:formatCode>General</c:formatCode>
                <c:ptCount val="11"/>
                <c:pt idx="0">
                  <c:v>31.617772615617099</c:v>
                </c:pt>
                <c:pt idx="1">
                  <c:v>31.824507118355001</c:v>
                </c:pt>
                <c:pt idx="2">
                  <c:v>31.7793960540934</c:v>
                </c:pt>
                <c:pt idx="3">
                  <c:v>31.948991094214001</c:v>
                </c:pt>
                <c:pt idx="4">
                  <c:v>32.034298610625697</c:v>
                </c:pt>
                <c:pt idx="5">
                  <c:v>31.976797829449701</c:v>
                </c:pt>
                <c:pt idx="6">
                  <c:v>32.111334957563699</c:v>
                </c:pt>
                <c:pt idx="7">
                  <c:v>32.253625895580598</c:v>
                </c:pt>
                <c:pt idx="8">
                  <c:v>32.2012887998076</c:v>
                </c:pt>
                <c:pt idx="9">
                  <c:v>32.213397787188597</c:v>
                </c:pt>
                <c:pt idx="10">
                  <c:v>32.266168187806102</c:v>
                </c:pt>
              </c:numCache>
            </c:numRef>
          </c:xVal>
          <c:yVal>
            <c:numRef>
              <c:f>'降采样-压缩率变化 弃用'!$C$57:$C$67</c:f>
              <c:numCache>
                <c:formatCode>General</c:formatCode>
                <c:ptCount val="11"/>
                <c:pt idx="0">
                  <c:v>13.882429603709801</c:v>
                </c:pt>
                <c:pt idx="1">
                  <c:v>13.412388693646101</c:v>
                </c:pt>
                <c:pt idx="2">
                  <c:v>12.821871051649801</c:v>
                </c:pt>
                <c:pt idx="3">
                  <c:v>11.9426137138096</c:v>
                </c:pt>
                <c:pt idx="4">
                  <c:v>11.0107916661504</c:v>
                </c:pt>
                <c:pt idx="5">
                  <c:v>10.097652191980099</c:v>
                </c:pt>
                <c:pt idx="6">
                  <c:v>9.3098292868719792</c:v>
                </c:pt>
                <c:pt idx="7">
                  <c:v>8.4916670875552995</c:v>
                </c:pt>
                <c:pt idx="8">
                  <c:v>7.6332018759064804</c:v>
                </c:pt>
                <c:pt idx="9">
                  <c:v>6.2880125663214104</c:v>
                </c:pt>
                <c:pt idx="10">
                  <c:v>5.9546566222677404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7-470A-AC2E-5FB54DAF9780}"/>
            </c:ext>
          </c:extLst>
        </c:ser>
        <c:ser>
          <c:idx val="4"/>
          <c:order val="1"/>
          <c:tx>
            <c:strRef>
              <c:f>'降采样-压缩率变化 弃用'!$J$167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'降采样-压缩率变化 弃用'!$E$167:$E$177</c:f>
              <c:numCache>
                <c:formatCode>General</c:formatCode>
                <c:ptCount val="11"/>
                <c:pt idx="0">
                  <c:v>38.095200307766497</c:v>
                </c:pt>
                <c:pt idx="1">
                  <c:v>38.251061360800598</c:v>
                </c:pt>
                <c:pt idx="2">
                  <c:v>38.418086666368097</c:v>
                </c:pt>
                <c:pt idx="3">
                  <c:v>38.666227493273603</c:v>
                </c:pt>
                <c:pt idx="4">
                  <c:v>38.869402048087402</c:v>
                </c:pt>
                <c:pt idx="5">
                  <c:v>39.088599287046698</c:v>
                </c:pt>
                <c:pt idx="6">
                  <c:v>39.239576064041799</c:v>
                </c:pt>
                <c:pt idx="7">
                  <c:v>39.385333579253199</c:v>
                </c:pt>
                <c:pt idx="8">
                  <c:v>39.4407186515039</c:v>
                </c:pt>
                <c:pt idx="9">
                  <c:v>39.412608967684598</c:v>
                </c:pt>
                <c:pt idx="10">
                  <c:v>39.609857565073803</c:v>
                </c:pt>
              </c:numCache>
            </c:numRef>
          </c:xVal>
          <c:yVal>
            <c:numRef>
              <c:f>'降采样-压缩率变化 弃用'!$C$167:$C$177</c:f>
              <c:numCache>
                <c:formatCode>General</c:formatCode>
                <c:ptCount val="11"/>
                <c:pt idx="0">
                  <c:v>12.6397919375813</c:v>
                </c:pt>
                <c:pt idx="1">
                  <c:v>12.2337004938082</c:v>
                </c:pt>
                <c:pt idx="2">
                  <c:v>11.725809674245401</c:v>
                </c:pt>
                <c:pt idx="3">
                  <c:v>10.9556038103691</c:v>
                </c:pt>
                <c:pt idx="4">
                  <c:v>10.1056243075613</c:v>
                </c:pt>
                <c:pt idx="5">
                  <c:v>9.2693088249756403</c:v>
                </c:pt>
                <c:pt idx="6">
                  <c:v>8.4907282797703694</c:v>
                </c:pt>
                <c:pt idx="7">
                  <c:v>7.7496415317401697</c:v>
                </c:pt>
                <c:pt idx="8">
                  <c:v>6.9283972067225799</c:v>
                </c:pt>
                <c:pt idx="9">
                  <c:v>5.5797833313301304</c:v>
                </c:pt>
                <c:pt idx="10">
                  <c:v>5.2621828821718699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B7-470A-AC2E-5FB54DAF9780}"/>
            </c:ext>
          </c:extLst>
        </c:ser>
        <c:ser>
          <c:idx val="5"/>
          <c:order val="2"/>
          <c:tx>
            <c:strRef>
              <c:f>'降采样-压缩率变化 弃用'!$J$277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'降采样-压缩率变化 弃用'!$E$277:$E$287</c:f>
              <c:numCache>
                <c:formatCode>General</c:formatCode>
                <c:ptCount val="11"/>
                <c:pt idx="0">
                  <c:v>45.070371470622199</c:v>
                </c:pt>
                <c:pt idx="1">
                  <c:v>45.808490728024701</c:v>
                </c:pt>
                <c:pt idx="2">
                  <c:v>46.398221298238397</c:v>
                </c:pt>
                <c:pt idx="3">
                  <c:v>46.947026295899803</c:v>
                </c:pt>
                <c:pt idx="4">
                  <c:v>47.285794763329903</c:v>
                </c:pt>
                <c:pt idx="5">
                  <c:v>47.928219717410798</c:v>
                </c:pt>
                <c:pt idx="6">
                  <c:v>48.386641369999097</c:v>
                </c:pt>
                <c:pt idx="7">
                  <c:v>49.122284103661997</c:v>
                </c:pt>
                <c:pt idx="8">
                  <c:v>48.777440659531102</c:v>
                </c:pt>
                <c:pt idx="9">
                  <c:v>48.367361763322101</c:v>
                </c:pt>
                <c:pt idx="10">
                  <c:v>50.349548258054703</c:v>
                </c:pt>
              </c:numCache>
            </c:numRef>
          </c:xVal>
          <c:yVal>
            <c:numRef>
              <c:f>'降采样-压缩率变化 弃用'!$C$277:$C$287</c:f>
              <c:numCache>
                <c:formatCode>General</c:formatCode>
                <c:ptCount val="11"/>
                <c:pt idx="0">
                  <c:v>11.5798506726432</c:v>
                </c:pt>
                <c:pt idx="1">
                  <c:v>11.236446199336401</c:v>
                </c:pt>
                <c:pt idx="2">
                  <c:v>10.764808793475501</c:v>
                </c:pt>
                <c:pt idx="3">
                  <c:v>10.0683165576612</c:v>
                </c:pt>
                <c:pt idx="4">
                  <c:v>9.3937719147239793</c:v>
                </c:pt>
                <c:pt idx="5">
                  <c:v>8.8369033904059506</c:v>
                </c:pt>
                <c:pt idx="6">
                  <c:v>8.0475650837511807</c:v>
                </c:pt>
                <c:pt idx="7">
                  <c:v>7.4491856045637803</c:v>
                </c:pt>
                <c:pt idx="8">
                  <c:v>6.6747425672565504</c:v>
                </c:pt>
                <c:pt idx="9">
                  <c:v>5.1447413363194396</c:v>
                </c:pt>
                <c:pt idx="10">
                  <c:v>4.8386080601465897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B7-470A-AC2E-5FB54DAF9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"wedding"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strRef>
              <c:f>'降采样-压缩率变化 弃用'!$J$101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弃用'!$E$101:$E$111</c:f>
              <c:numCache>
                <c:formatCode>General</c:formatCode>
                <c:ptCount val="11"/>
                <c:pt idx="0">
                  <c:v>41.211372952513699</c:v>
                </c:pt>
                <c:pt idx="1">
                  <c:v>41.454435752136703</c:v>
                </c:pt>
                <c:pt idx="2">
                  <c:v>41.541637165403003</c:v>
                </c:pt>
                <c:pt idx="3">
                  <c:v>41.9090879445166</c:v>
                </c:pt>
                <c:pt idx="4">
                  <c:v>42.173774239771298</c:v>
                </c:pt>
                <c:pt idx="5">
                  <c:v>42.202094894877099</c:v>
                </c:pt>
                <c:pt idx="6">
                  <c:v>42.538628951926199</c:v>
                </c:pt>
                <c:pt idx="7">
                  <c:v>43.083587891966701</c:v>
                </c:pt>
                <c:pt idx="8">
                  <c:v>43.044657485810902</c:v>
                </c:pt>
                <c:pt idx="9">
                  <c:v>42.378038658305002</c:v>
                </c:pt>
                <c:pt idx="10">
                  <c:v>43.781385522352998</c:v>
                </c:pt>
              </c:numCache>
            </c:numRef>
          </c:xVal>
          <c:yVal>
            <c:numRef>
              <c:f>'降采样-压缩率变化 弃用'!$C$101:$C$111</c:f>
              <c:numCache>
                <c:formatCode>General</c:formatCode>
                <c:ptCount val="11"/>
                <c:pt idx="0">
                  <c:v>22.145171051226399</c:v>
                </c:pt>
                <c:pt idx="1">
                  <c:v>20.630372492836699</c:v>
                </c:pt>
                <c:pt idx="2">
                  <c:v>19.496478862203901</c:v>
                </c:pt>
                <c:pt idx="3">
                  <c:v>17.433804901015598</c:v>
                </c:pt>
                <c:pt idx="4">
                  <c:v>15.5735693936101</c:v>
                </c:pt>
                <c:pt idx="5">
                  <c:v>13.649378945359</c:v>
                </c:pt>
                <c:pt idx="6">
                  <c:v>11.610844104334801</c:v>
                </c:pt>
                <c:pt idx="7">
                  <c:v>10.071576711421701</c:v>
                </c:pt>
                <c:pt idx="8">
                  <c:v>8.1045693730970694</c:v>
                </c:pt>
                <c:pt idx="9">
                  <c:v>5.9019416978328803</c:v>
                </c:pt>
                <c:pt idx="10">
                  <c:v>5.4339717574628903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07-454A-909F-DD323348BEBD}"/>
            </c:ext>
          </c:extLst>
        </c:ser>
        <c:ser>
          <c:idx val="7"/>
          <c:order val="1"/>
          <c:tx>
            <c:strRef>
              <c:f>'降采样-压缩率变化 弃用'!$J$211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弃用'!$E$211:$E$221</c:f>
              <c:numCache>
                <c:formatCode>General</c:formatCode>
                <c:ptCount val="11"/>
                <c:pt idx="0">
                  <c:v>42.689824574048799</c:v>
                </c:pt>
                <c:pt idx="1">
                  <c:v>42.941764033746303</c:v>
                </c:pt>
                <c:pt idx="2">
                  <c:v>43.158390660789998</c:v>
                </c:pt>
                <c:pt idx="3">
                  <c:v>43.564715625410201</c:v>
                </c:pt>
                <c:pt idx="4">
                  <c:v>43.925793228823302</c:v>
                </c:pt>
                <c:pt idx="5">
                  <c:v>44.225643640159603</c:v>
                </c:pt>
                <c:pt idx="6">
                  <c:v>44.688554817840902</c:v>
                </c:pt>
                <c:pt idx="7">
                  <c:v>45.336792653194102</c:v>
                </c:pt>
                <c:pt idx="8">
                  <c:v>45.688035980830598</c:v>
                </c:pt>
                <c:pt idx="9">
                  <c:v>45.100404215052102</c:v>
                </c:pt>
                <c:pt idx="10">
                  <c:v>47.1527180367274</c:v>
                </c:pt>
              </c:numCache>
            </c:numRef>
          </c:xVal>
          <c:yVal>
            <c:numRef>
              <c:f>'降采样-压缩率变化 弃用'!$C$211:$C$221</c:f>
              <c:numCache>
                <c:formatCode>General</c:formatCode>
                <c:ptCount val="11"/>
                <c:pt idx="0">
                  <c:v>20.864665436860601</c:v>
                </c:pt>
                <c:pt idx="1">
                  <c:v>19.425248951577402</c:v>
                </c:pt>
                <c:pt idx="2">
                  <c:v>18.388901862597599</c:v>
                </c:pt>
                <c:pt idx="3">
                  <c:v>16.488331102482199</c:v>
                </c:pt>
                <c:pt idx="4">
                  <c:v>14.72072089127</c:v>
                </c:pt>
                <c:pt idx="5">
                  <c:v>12.884918506121601</c:v>
                </c:pt>
                <c:pt idx="6">
                  <c:v>10.882107008785001</c:v>
                </c:pt>
                <c:pt idx="7">
                  <c:v>9.4700931207555605</c:v>
                </c:pt>
                <c:pt idx="8">
                  <c:v>7.6403362789469504</c:v>
                </c:pt>
                <c:pt idx="9">
                  <c:v>5.1784762919552501</c:v>
                </c:pt>
                <c:pt idx="10">
                  <c:v>4.76620992531344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07-454A-909F-DD323348BEBD}"/>
            </c:ext>
          </c:extLst>
        </c:ser>
        <c:ser>
          <c:idx val="8"/>
          <c:order val="2"/>
          <c:tx>
            <c:strRef>
              <c:f>'降采样-压缩率变化 弃用'!$J$321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弃用'!$E$321:$E$331</c:f>
              <c:numCache>
                <c:formatCode>General</c:formatCode>
                <c:ptCount val="11"/>
                <c:pt idx="0">
                  <c:v>43.088563513759901</c:v>
                </c:pt>
                <c:pt idx="1">
                  <c:v>43.355526340398796</c:v>
                </c:pt>
                <c:pt idx="2">
                  <c:v>43.579161184405798</c:v>
                </c:pt>
                <c:pt idx="3">
                  <c:v>44.065102301986499</c:v>
                </c:pt>
                <c:pt idx="4">
                  <c:v>44.446233562257198</c:v>
                </c:pt>
                <c:pt idx="5">
                  <c:v>44.732920613510501</c:v>
                </c:pt>
                <c:pt idx="6">
                  <c:v>45.1626026915689</c:v>
                </c:pt>
                <c:pt idx="7">
                  <c:v>45.885276743864999</c:v>
                </c:pt>
                <c:pt idx="8">
                  <c:v>46.208691282206701</c:v>
                </c:pt>
                <c:pt idx="9">
                  <c:v>44.935253513309803</c:v>
                </c:pt>
                <c:pt idx="10">
                  <c:v>47.9095716701245</c:v>
                </c:pt>
              </c:numCache>
            </c:numRef>
          </c:xVal>
          <c:yVal>
            <c:numRef>
              <c:f>'降采样-压缩率变化 弃用'!$C$321:$C$331</c:f>
              <c:numCache>
                <c:formatCode>General</c:formatCode>
                <c:ptCount val="11"/>
                <c:pt idx="0">
                  <c:v>18.933643374990101</c:v>
                </c:pt>
                <c:pt idx="1">
                  <c:v>17.617821731705501</c:v>
                </c:pt>
                <c:pt idx="2">
                  <c:v>16.6984755876598</c:v>
                </c:pt>
                <c:pt idx="3">
                  <c:v>15.0482959149856</c:v>
                </c:pt>
                <c:pt idx="4">
                  <c:v>13.3753606797766</c:v>
                </c:pt>
                <c:pt idx="5">
                  <c:v>11.611212525058001</c:v>
                </c:pt>
                <c:pt idx="6">
                  <c:v>9.6890404878162695</c:v>
                </c:pt>
                <c:pt idx="7">
                  <c:v>8.4763014286590206</c:v>
                </c:pt>
                <c:pt idx="8">
                  <c:v>6.8003979142298103</c:v>
                </c:pt>
                <c:pt idx="9">
                  <c:v>4.0505827986969498</c:v>
                </c:pt>
                <c:pt idx="10">
                  <c:v>3.69987301908282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07-454A-909F-DD323348B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44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"shop"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strRef>
              <c:f>'降采样-压缩率变化 弃用'!$J$101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弃用'!$E$79:$E$89</c:f>
              <c:numCache>
                <c:formatCode>General</c:formatCode>
                <c:ptCount val="11"/>
                <c:pt idx="0">
                  <c:v>38.111693974312601</c:v>
                </c:pt>
                <c:pt idx="1">
                  <c:v>38.3865907204693</c:v>
                </c:pt>
                <c:pt idx="2">
                  <c:v>38.354997640780397</c:v>
                </c:pt>
                <c:pt idx="3">
                  <c:v>38.647146395540098</c:v>
                </c:pt>
                <c:pt idx="4">
                  <c:v>38.807739845897999</c:v>
                </c:pt>
                <c:pt idx="5">
                  <c:v>38.644500455715402</c:v>
                </c:pt>
                <c:pt idx="6">
                  <c:v>38.934874022312997</c:v>
                </c:pt>
                <c:pt idx="7">
                  <c:v>39.368653796595801</c:v>
                </c:pt>
                <c:pt idx="8">
                  <c:v>39.269087179953303</c:v>
                </c:pt>
                <c:pt idx="9">
                  <c:v>39.080507867569303</c:v>
                </c:pt>
                <c:pt idx="10">
                  <c:v>39.722011271973599</c:v>
                </c:pt>
              </c:numCache>
            </c:numRef>
          </c:xVal>
          <c:yVal>
            <c:numRef>
              <c:f>'降采样-压缩率变化 弃用'!$C$79:$C$89</c:f>
              <c:numCache>
                <c:formatCode>General</c:formatCode>
                <c:ptCount val="11"/>
                <c:pt idx="0">
                  <c:v>18.5353586518006</c:v>
                </c:pt>
                <c:pt idx="1">
                  <c:v>17.459640299077201</c:v>
                </c:pt>
                <c:pt idx="2">
                  <c:v>16.603854161106099</c:v>
                </c:pt>
                <c:pt idx="3">
                  <c:v>15.0290274184079</c:v>
                </c:pt>
                <c:pt idx="4">
                  <c:v>13.594643262994101</c:v>
                </c:pt>
                <c:pt idx="5">
                  <c:v>11.9622717701693</c:v>
                </c:pt>
                <c:pt idx="6">
                  <c:v>10.259793379161099</c:v>
                </c:pt>
                <c:pt idx="7">
                  <c:v>8.9331949009792204</c:v>
                </c:pt>
                <c:pt idx="8">
                  <c:v>7.2334547281175396</c:v>
                </c:pt>
                <c:pt idx="9">
                  <c:v>5.3720995904084896</c:v>
                </c:pt>
                <c:pt idx="10">
                  <c:v>4.9287444330969397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5-4C4B-9F1B-D6E59225B6E6}"/>
            </c:ext>
          </c:extLst>
        </c:ser>
        <c:ser>
          <c:idx val="7"/>
          <c:order val="1"/>
          <c:tx>
            <c:strRef>
              <c:f>'降采样-压缩率变化 弃用'!$J$211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弃用'!$E$189:$E$199</c:f>
              <c:numCache>
                <c:formatCode>General</c:formatCode>
                <c:ptCount val="11"/>
                <c:pt idx="0">
                  <c:v>40.746872350419302</c:v>
                </c:pt>
                <c:pt idx="1">
                  <c:v>40.9970836799815</c:v>
                </c:pt>
                <c:pt idx="2">
                  <c:v>41.250284590333401</c:v>
                </c:pt>
                <c:pt idx="3">
                  <c:v>41.627178495896104</c:v>
                </c:pt>
                <c:pt idx="4">
                  <c:v>41.974809032330903</c:v>
                </c:pt>
                <c:pt idx="5">
                  <c:v>42.314933601291898</c:v>
                </c:pt>
                <c:pt idx="6">
                  <c:v>42.7239528573377</c:v>
                </c:pt>
                <c:pt idx="7">
                  <c:v>43.270378435587197</c:v>
                </c:pt>
                <c:pt idx="8">
                  <c:v>43.623888073098698</c:v>
                </c:pt>
                <c:pt idx="9">
                  <c:v>43.474843204226602</c:v>
                </c:pt>
                <c:pt idx="10">
                  <c:v>44.865007487516102</c:v>
                </c:pt>
              </c:numCache>
            </c:numRef>
          </c:xVal>
          <c:yVal>
            <c:numRef>
              <c:f>'降采样-压缩率变化 弃用'!$C$189:$C$199</c:f>
              <c:numCache>
                <c:formatCode>General</c:formatCode>
                <c:ptCount val="11"/>
                <c:pt idx="0">
                  <c:v>17.288163855153801</c:v>
                </c:pt>
                <c:pt idx="1">
                  <c:v>16.2384818188937</c:v>
                </c:pt>
                <c:pt idx="2">
                  <c:v>15.458668290197901</c:v>
                </c:pt>
                <c:pt idx="3">
                  <c:v>14.016840577816099</c:v>
                </c:pt>
                <c:pt idx="4">
                  <c:v>12.6622266369217</c:v>
                </c:pt>
                <c:pt idx="5">
                  <c:v>11.088868884749401</c:v>
                </c:pt>
                <c:pt idx="6">
                  <c:v>9.4508573043301194</c:v>
                </c:pt>
                <c:pt idx="7">
                  <c:v>8.2485600025458492</c:v>
                </c:pt>
                <c:pt idx="8">
                  <c:v>6.6627537840003104</c:v>
                </c:pt>
                <c:pt idx="9">
                  <c:v>4.6656431571991996</c:v>
                </c:pt>
                <c:pt idx="10">
                  <c:v>4.2684027179778896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15-4C4B-9F1B-D6E59225B6E6}"/>
            </c:ext>
          </c:extLst>
        </c:ser>
        <c:ser>
          <c:idx val="8"/>
          <c:order val="2"/>
          <c:tx>
            <c:strRef>
              <c:f>'降采样-压缩率变化 弃用'!$J$321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弃用'!$E$299:$E$309</c:f>
              <c:numCache>
                <c:formatCode>General</c:formatCode>
                <c:ptCount val="11"/>
                <c:pt idx="0">
                  <c:v>41.846967695133699</c:v>
                </c:pt>
                <c:pt idx="1">
                  <c:v>42.187186324638098</c:v>
                </c:pt>
                <c:pt idx="2">
                  <c:v>42.478499367648297</c:v>
                </c:pt>
                <c:pt idx="3">
                  <c:v>43.024790296447797</c:v>
                </c:pt>
                <c:pt idx="4">
                  <c:v>43.4895498701581</c:v>
                </c:pt>
                <c:pt idx="5">
                  <c:v>43.884362330749397</c:v>
                </c:pt>
                <c:pt idx="6">
                  <c:v>44.416628896494899</c:v>
                </c:pt>
                <c:pt idx="7">
                  <c:v>45.297936404799401</c:v>
                </c:pt>
                <c:pt idx="8">
                  <c:v>45.719561756777502</c:v>
                </c:pt>
                <c:pt idx="9">
                  <c:v>44.838329903645601</c:v>
                </c:pt>
                <c:pt idx="10">
                  <c:v>48.049878640311803</c:v>
                </c:pt>
              </c:numCache>
            </c:numRef>
          </c:xVal>
          <c:yVal>
            <c:numRef>
              <c:f>'降采样-压缩率变化 弃用'!$C$299:$C$309</c:f>
              <c:numCache>
                <c:formatCode>General</c:formatCode>
                <c:ptCount val="11"/>
                <c:pt idx="0">
                  <c:v>15.190615262895699</c:v>
                </c:pt>
                <c:pt idx="1">
                  <c:v>14.2463896230002</c:v>
                </c:pt>
                <c:pt idx="2">
                  <c:v>13.566359754528399</c:v>
                </c:pt>
                <c:pt idx="3">
                  <c:v>12.353126905105601</c:v>
                </c:pt>
                <c:pt idx="4">
                  <c:v>11.1174057956769</c:v>
                </c:pt>
                <c:pt idx="5">
                  <c:v>9.6539009469538293</c:v>
                </c:pt>
                <c:pt idx="6">
                  <c:v>8.1444124994108495</c:v>
                </c:pt>
                <c:pt idx="7">
                  <c:v>7.1426603102868604</c:v>
                </c:pt>
                <c:pt idx="8">
                  <c:v>5.7263892762756399</c:v>
                </c:pt>
                <c:pt idx="9">
                  <c:v>3.5829395678447802</c:v>
                </c:pt>
                <c:pt idx="10">
                  <c:v>3.2456731662217901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5-4C4B-9F1B-D6E59225B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44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'bar'JPEG</a:t>
            </a:r>
            <a:r>
              <a:rPr lang="zh-CN" altLang="en-US"/>
              <a:t>与行残差性能对比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ALL!$I$2</c:f>
              <c:strCache>
                <c:ptCount val="1"/>
                <c:pt idx="0">
                  <c:v>bar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ALL!$E$2:$E$12</c:f>
              <c:numCache>
                <c:formatCode>General</c:formatCode>
                <c:ptCount val="11"/>
                <c:pt idx="0">
                  <c:v>38.933721436558599</c:v>
                </c:pt>
                <c:pt idx="1">
                  <c:v>39.275047815141001</c:v>
                </c:pt>
                <c:pt idx="2">
                  <c:v>39.647615986688301</c:v>
                </c:pt>
                <c:pt idx="3">
                  <c:v>40.146591720485297</c:v>
                </c:pt>
                <c:pt idx="4">
                  <c:v>40.802983800400703</c:v>
                </c:pt>
                <c:pt idx="5">
                  <c:v>41.5905570104918</c:v>
                </c:pt>
                <c:pt idx="6">
                  <c:v>42.755876694084002</c:v>
                </c:pt>
                <c:pt idx="7">
                  <c:v>44.165840583905997</c:v>
                </c:pt>
                <c:pt idx="8">
                  <c:v>46.087197635795903</c:v>
                </c:pt>
                <c:pt idx="9">
                  <c:v>48.471171604074399</c:v>
                </c:pt>
                <c:pt idx="10">
                  <c:v>50.627786525939598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F2-4E1A-AB8F-7BD61730D92D}"/>
            </c:ext>
          </c:extLst>
        </c:ser>
        <c:ser>
          <c:idx val="3"/>
          <c:order val="3"/>
          <c:tx>
            <c:v>bar行残差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ALL!$E$68:$E$74</c:f>
              <c:numCache>
                <c:formatCode>General</c:formatCode>
                <c:ptCount val="7"/>
                <c:pt idx="0">
                  <c:v>46.264891507150097</c:v>
                </c:pt>
                <c:pt idx="1">
                  <c:v>43.744040268512599</c:v>
                </c:pt>
                <c:pt idx="2">
                  <c:v>41.677621921270301</c:v>
                </c:pt>
                <c:pt idx="3">
                  <c:v>39.973028473224197</c:v>
                </c:pt>
                <c:pt idx="4">
                  <c:v>38.528181862752199</c:v>
                </c:pt>
                <c:pt idx="5">
                  <c:v>37.334934390020202</c:v>
                </c:pt>
                <c:pt idx="6">
                  <c:v>36.409602400368698</c:v>
                </c:pt>
              </c:numCache>
            </c:numRef>
          </c:xVal>
          <c:yVal>
            <c:numRef>
              <c:f>ALL!$C$68:$C$74</c:f>
              <c:numCache>
                <c:formatCode>General</c:formatCode>
                <c:ptCount val="7"/>
                <c:pt idx="0">
                  <c:v>3.0372879237436101</c:v>
                </c:pt>
                <c:pt idx="1">
                  <c:v>3.63755012683009</c:v>
                </c:pt>
                <c:pt idx="2">
                  <c:v>4.1345317945813997</c:v>
                </c:pt>
                <c:pt idx="3">
                  <c:v>4.58371648864681</c:v>
                </c:pt>
                <c:pt idx="4">
                  <c:v>4.9996986099892702</c:v>
                </c:pt>
                <c:pt idx="5">
                  <c:v>5.4352204170252501</c:v>
                </c:pt>
                <c:pt idx="6">
                  <c:v>6.03429209978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F2-4E1A-AB8F-7BD61730D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ALL!$I$13</c15:sqref>
                        </c15:formulaRef>
                      </c:ext>
                    </c:extLst>
                    <c:strCache>
                      <c:ptCount val="1"/>
                      <c:pt idx="0">
                        <c:v>building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ALL!$E$13:$E$23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38.852695146091797</c:v>
                      </c:pt>
                      <c:pt idx="1">
                        <c:v>39.335245291237598</c:v>
                      </c:pt>
                      <c:pt idx="2">
                        <c:v>39.887753520637801</c:v>
                      </c:pt>
                      <c:pt idx="3">
                        <c:v>40.506244609230002</c:v>
                      </c:pt>
                      <c:pt idx="4">
                        <c:v>41.258040194429903</c:v>
                      </c:pt>
                      <c:pt idx="5">
                        <c:v>42.080684388643199</c:v>
                      </c:pt>
                      <c:pt idx="6">
                        <c:v>43.177074231034197</c:v>
                      </c:pt>
                      <c:pt idx="7">
                        <c:v>44.418967131027202</c:v>
                      </c:pt>
                      <c:pt idx="8">
                        <c:v>46.064779882111402</c:v>
                      </c:pt>
                      <c:pt idx="9">
                        <c:v>48.442471359593803</c:v>
                      </c:pt>
                      <c:pt idx="10">
                        <c:v>50.657032986572702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ALL!$C$13:$C$23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8.6855023819230706</c:v>
                      </c:pt>
                      <c:pt idx="1">
                        <c:v>8.2364374442258406</c:v>
                      </c:pt>
                      <c:pt idx="2">
                        <c:v>7.8574225410819603</c:v>
                      </c:pt>
                      <c:pt idx="3">
                        <c:v>7.2322521615491304</c:v>
                      </c:pt>
                      <c:pt idx="4">
                        <c:v>6.5942313196306896</c:v>
                      </c:pt>
                      <c:pt idx="5">
                        <c:v>5.99029927422702</c:v>
                      </c:pt>
                      <c:pt idx="6">
                        <c:v>5.2310709198269096</c:v>
                      </c:pt>
                      <c:pt idx="7">
                        <c:v>4.5893705550801203</c:v>
                      </c:pt>
                      <c:pt idx="8">
                        <c:v>3.94684248794211</c:v>
                      </c:pt>
                      <c:pt idx="9">
                        <c:v>3.0180155267118201</c:v>
                      </c:pt>
                      <c:pt idx="10">
                        <c:v>2.3979988921282098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1F2-4E1A-AB8F-7BD61730D9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ALL!$I$24</c15:sqref>
                        </c15:formulaRef>
                      </c:ext>
                    </c:extLst>
                    <c:strCache>
                      <c:ptCount val="1"/>
                      <c:pt idx="0">
                        <c:v>earth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ALL!$E$24:$E$34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39.044461395706101</c:v>
                      </c:pt>
                      <c:pt idx="1">
                        <c:v>39.460716473793703</c:v>
                      </c:pt>
                      <c:pt idx="2">
                        <c:v>39.935899521428198</c:v>
                      </c:pt>
                      <c:pt idx="3">
                        <c:v>40.511139819098297</c:v>
                      </c:pt>
                      <c:pt idx="4">
                        <c:v>41.200485536319</c:v>
                      </c:pt>
                      <c:pt idx="5">
                        <c:v>42.001897370026498</c:v>
                      </c:pt>
                      <c:pt idx="6">
                        <c:v>43.086289678667697</c:v>
                      </c:pt>
                      <c:pt idx="7">
                        <c:v>44.395207606970502</c:v>
                      </c:pt>
                      <c:pt idx="8">
                        <c:v>46.204554834038397</c:v>
                      </c:pt>
                      <c:pt idx="9">
                        <c:v>48.915593785772401</c:v>
                      </c:pt>
                      <c:pt idx="10">
                        <c:v>51.329846982579603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ALL!$C$24:$C$34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11.9068627920108</c:v>
                      </c:pt>
                      <c:pt idx="1">
                        <c:v>11.1818323983384</c:v>
                      </c:pt>
                      <c:pt idx="2">
                        <c:v>10.5480016481253</c:v>
                      </c:pt>
                      <c:pt idx="3">
                        <c:v>9.6305711185042604</c:v>
                      </c:pt>
                      <c:pt idx="4">
                        <c:v>8.6648874823799495</c:v>
                      </c:pt>
                      <c:pt idx="5">
                        <c:v>7.7517467224421601</c:v>
                      </c:pt>
                      <c:pt idx="6">
                        <c:v>6.6541018010829198</c:v>
                      </c:pt>
                      <c:pt idx="7">
                        <c:v>5.7370994115157004</c:v>
                      </c:pt>
                      <c:pt idx="8">
                        <c:v>4.8308263378192597</c:v>
                      </c:pt>
                      <c:pt idx="9">
                        <c:v>3.6216397164772101</c:v>
                      </c:pt>
                      <c:pt idx="10">
                        <c:v>2.89581166796853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F2-4E1A-AB8F-7BD61730D92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building行残差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ALL!$E$75:$E$81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46.245507867434497</c:v>
                      </c:pt>
                      <c:pt idx="1">
                        <c:v>43.735145278682701</c:v>
                      </c:pt>
                      <c:pt idx="2">
                        <c:v>41.723736308116898</c:v>
                      </c:pt>
                      <c:pt idx="3">
                        <c:v>40.0664576304288</c:v>
                      </c:pt>
                      <c:pt idx="4">
                        <c:v>38.665991290461598</c:v>
                      </c:pt>
                      <c:pt idx="5">
                        <c:v>37.442560815652797</c:v>
                      </c:pt>
                      <c:pt idx="6">
                        <c:v>36.417989562747103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ALL!$C$77:$C$81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4.13232088991571</c:v>
                      </c:pt>
                      <c:pt idx="1">
                        <c:v>4.6176868809235403</c:v>
                      </c:pt>
                      <c:pt idx="2">
                        <c:v>5.0572854974566397</c:v>
                      </c:pt>
                      <c:pt idx="3">
                        <c:v>5.4448491086737896</c:v>
                      </c:pt>
                      <c:pt idx="4">
                        <c:v>5.8853748321890498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1F2-4E1A-AB8F-7BD61730D92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earth行残差</c:v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ALL!$E$82:$E$88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46.510966569326897</c:v>
                      </c:pt>
                      <c:pt idx="1">
                        <c:v>43.9736553101569</c:v>
                      </c:pt>
                      <c:pt idx="2">
                        <c:v>41.929936300227901</c:v>
                      </c:pt>
                      <c:pt idx="3">
                        <c:v>40.234855049436398</c:v>
                      </c:pt>
                      <c:pt idx="4">
                        <c:v>38.774687602032301</c:v>
                      </c:pt>
                      <c:pt idx="5">
                        <c:v>37.542791483713401</c:v>
                      </c:pt>
                      <c:pt idx="6">
                        <c:v>36.552705791610499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ALL!$C$82:$C$88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2.9995486790182002</c:v>
                      </c:pt>
                      <c:pt idx="1">
                        <c:v>3.64365640170187</c:v>
                      </c:pt>
                      <c:pt idx="2">
                        <c:v>4.2240896967194903</c:v>
                      </c:pt>
                      <c:pt idx="3">
                        <c:v>4.7358972914455704</c:v>
                      </c:pt>
                      <c:pt idx="4">
                        <c:v>5.2018945171389603</c:v>
                      </c:pt>
                      <c:pt idx="5">
                        <c:v>5.6550979333366103</c:v>
                      </c:pt>
                      <c:pt idx="6">
                        <c:v>6.1799136910202099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1F2-4E1A-AB8F-7BD61730D92D}"/>
                  </c:ext>
                </c:extLst>
              </c15:ser>
            </c15:filteredScatterSeries>
          </c:ext>
        </c:extLst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'building'JPEG</a:t>
            </a:r>
            <a:r>
              <a:rPr lang="zh-CN" altLang="en-US"/>
              <a:t>与行残差性能对比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ALL!$I$13</c:f>
              <c:strCache>
                <c:ptCount val="1"/>
                <c:pt idx="0">
                  <c:v>building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ALL!$E$13:$E$23</c:f>
              <c:numCache>
                <c:formatCode>General</c:formatCode>
                <c:ptCount val="11"/>
                <c:pt idx="0">
                  <c:v>38.852695146091797</c:v>
                </c:pt>
                <c:pt idx="1">
                  <c:v>39.335245291237598</c:v>
                </c:pt>
                <c:pt idx="2">
                  <c:v>39.887753520637801</c:v>
                </c:pt>
                <c:pt idx="3">
                  <c:v>40.506244609230002</c:v>
                </c:pt>
                <c:pt idx="4">
                  <c:v>41.258040194429903</c:v>
                </c:pt>
                <c:pt idx="5">
                  <c:v>42.080684388643199</c:v>
                </c:pt>
                <c:pt idx="6">
                  <c:v>43.177074231034197</c:v>
                </c:pt>
                <c:pt idx="7">
                  <c:v>44.418967131027202</c:v>
                </c:pt>
                <c:pt idx="8">
                  <c:v>46.064779882111402</c:v>
                </c:pt>
                <c:pt idx="9">
                  <c:v>48.442471359593803</c:v>
                </c:pt>
                <c:pt idx="10">
                  <c:v>50.657032986572702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4B-4B0F-9389-EA65AA929810}"/>
            </c:ext>
          </c:extLst>
        </c:ser>
        <c:ser>
          <c:idx val="4"/>
          <c:order val="4"/>
          <c:tx>
            <c:v>building行残差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ALL!$E$75:$E$81</c:f>
              <c:numCache>
                <c:formatCode>General</c:formatCode>
                <c:ptCount val="7"/>
                <c:pt idx="0">
                  <c:v>46.245507867434497</c:v>
                </c:pt>
                <c:pt idx="1">
                  <c:v>43.735145278682701</c:v>
                </c:pt>
                <c:pt idx="2">
                  <c:v>41.723736308116898</c:v>
                </c:pt>
                <c:pt idx="3">
                  <c:v>40.0664576304288</c:v>
                </c:pt>
                <c:pt idx="4">
                  <c:v>38.665991290461598</c:v>
                </c:pt>
                <c:pt idx="5">
                  <c:v>37.442560815652797</c:v>
                </c:pt>
                <c:pt idx="6">
                  <c:v>36.417989562747103</c:v>
                </c:pt>
              </c:numCache>
            </c:numRef>
          </c:xVal>
          <c:yVal>
            <c:numRef>
              <c:f>ALL!$C$77:$C$81</c:f>
              <c:numCache>
                <c:formatCode>General</c:formatCode>
                <c:ptCount val="5"/>
                <c:pt idx="0">
                  <c:v>4.13232088991571</c:v>
                </c:pt>
                <c:pt idx="1">
                  <c:v>4.6176868809235403</c:v>
                </c:pt>
                <c:pt idx="2">
                  <c:v>5.0572854974566397</c:v>
                </c:pt>
                <c:pt idx="3">
                  <c:v>5.4448491086737896</c:v>
                </c:pt>
                <c:pt idx="4">
                  <c:v>5.8853748321890498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4B-4B0F-9389-EA65AA929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ALL!$I$2</c15:sqref>
                        </c15:formulaRef>
                      </c:ext>
                    </c:extLst>
                    <c:strCache>
                      <c:ptCount val="1"/>
                      <c:pt idx="0">
                        <c:v>bar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ALL!$E$2:$E$12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38.933721436558599</c:v>
                      </c:pt>
                      <c:pt idx="1">
                        <c:v>39.275047815141001</c:v>
                      </c:pt>
                      <c:pt idx="2">
                        <c:v>39.647615986688301</c:v>
                      </c:pt>
                      <c:pt idx="3">
                        <c:v>40.146591720485297</c:v>
                      </c:pt>
                      <c:pt idx="4">
                        <c:v>40.802983800400703</c:v>
                      </c:pt>
                      <c:pt idx="5">
                        <c:v>41.5905570104918</c:v>
                      </c:pt>
                      <c:pt idx="6">
                        <c:v>42.755876694084002</c:v>
                      </c:pt>
                      <c:pt idx="7">
                        <c:v>44.165840583905997</c:v>
                      </c:pt>
                      <c:pt idx="8">
                        <c:v>46.087197635795903</c:v>
                      </c:pt>
                      <c:pt idx="9">
                        <c:v>48.471171604074399</c:v>
                      </c:pt>
                      <c:pt idx="10">
                        <c:v>50.627786525939598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ALL!$C$2:$C$12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9.9882308172758094</c:v>
                      </c:pt>
                      <c:pt idx="1">
                        <c:v>9.3078512551265096</c:v>
                      </c:pt>
                      <c:pt idx="2">
                        <c:v>8.7574964101697805</c:v>
                      </c:pt>
                      <c:pt idx="3">
                        <c:v>7.9477813593557798</c:v>
                      </c:pt>
                      <c:pt idx="4">
                        <c:v>7.1102739389395202</c:v>
                      </c:pt>
                      <c:pt idx="5">
                        <c:v>6.3871337367730403</c:v>
                      </c:pt>
                      <c:pt idx="6">
                        <c:v>5.5299490012258596</c:v>
                      </c:pt>
                      <c:pt idx="7">
                        <c:v>4.8561188987239099</c:v>
                      </c:pt>
                      <c:pt idx="8">
                        <c:v>4.2210944799662897</c:v>
                      </c:pt>
                      <c:pt idx="9">
                        <c:v>3.2129990935549402</c:v>
                      </c:pt>
                      <c:pt idx="10">
                        <c:v>2.5229663835656799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14B-4B0F-9389-EA65AA92981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ALL!$I$24</c15:sqref>
                        </c15:formulaRef>
                      </c:ext>
                    </c:extLst>
                    <c:strCache>
                      <c:ptCount val="1"/>
                      <c:pt idx="0">
                        <c:v>earth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ALL!$E$24:$E$34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39.044461395706101</c:v>
                      </c:pt>
                      <c:pt idx="1">
                        <c:v>39.460716473793703</c:v>
                      </c:pt>
                      <c:pt idx="2">
                        <c:v>39.935899521428198</c:v>
                      </c:pt>
                      <c:pt idx="3">
                        <c:v>40.511139819098297</c:v>
                      </c:pt>
                      <c:pt idx="4">
                        <c:v>41.200485536319</c:v>
                      </c:pt>
                      <c:pt idx="5">
                        <c:v>42.001897370026498</c:v>
                      </c:pt>
                      <c:pt idx="6">
                        <c:v>43.086289678667697</c:v>
                      </c:pt>
                      <c:pt idx="7">
                        <c:v>44.395207606970502</c:v>
                      </c:pt>
                      <c:pt idx="8">
                        <c:v>46.204554834038397</c:v>
                      </c:pt>
                      <c:pt idx="9">
                        <c:v>48.915593785772401</c:v>
                      </c:pt>
                      <c:pt idx="10">
                        <c:v>51.329846982579603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ALL!$C$24:$C$34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11.9068627920108</c:v>
                      </c:pt>
                      <c:pt idx="1">
                        <c:v>11.1818323983384</c:v>
                      </c:pt>
                      <c:pt idx="2">
                        <c:v>10.5480016481253</c:v>
                      </c:pt>
                      <c:pt idx="3">
                        <c:v>9.6305711185042604</c:v>
                      </c:pt>
                      <c:pt idx="4">
                        <c:v>8.6648874823799495</c:v>
                      </c:pt>
                      <c:pt idx="5">
                        <c:v>7.7517467224421601</c:v>
                      </c:pt>
                      <c:pt idx="6">
                        <c:v>6.6541018010829198</c:v>
                      </c:pt>
                      <c:pt idx="7">
                        <c:v>5.7370994115157004</c:v>
                      </c:pt>
                      <c:pt idx="8">
                        <c:v>4.8308263378192597</c:v>
                      </c:pt>
                      <c:pt idx="9">
                        <c:v>3.6216397164772101</c:v>
                      </c:pt>
                      <c:pt idx="10">
                        <c:v>2.89581166796853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14B-4B0F-9389-EA65AA92981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bar行残差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ALL!$E$68:$E$74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46.264891507150097</c:v>
                      </c:pt>
                      <c:pt idx="1">
                        <c:v>43.744040268512599</c:v>
                      </c:pt>
                      <c:pt idx="2">
                        <c:v>41.677621921270301</c:v>
                      </c:pt>
                      <c:pt idx="3">
                        <c:v>39.973028473224197</c:v>
                      </c:pt>
                      <c:pt idx="4">
                        <c:v>38.528181862752199</c:v>
                      </c:pt>
                      <c:pt idx="5">
                        <c:v>37.334934390020202</c:v>
                      </c:pt>
                      <c:pt idx="6">
                        <c:v>36.409602400368698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ALL!$C$68:$C$74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3.0372879237436101</c:v>
                      </c:pt>
                      <c:pt idx="1">
                        <c:v>3.63755012683009</c:v>
                      </c:pt>
                      <c:pt idx="2">
                        <c:v>4.1345317945813997</c:v>
                      </c:pt>
                      <c:pt idx="3">
                        <c:v>4.58371648864681</c:v>
                      </c:pt>
                      <c:pt idx="4">
                        <c:v>4.9996986099892702</c:v>
                      </c:pt>
                      <c:pt idx="5">
                        <c:v>5.4352204170252501</c:v>
                      </c:pt>
                      <c:pt idx="6">
                        <c:v>6.03429209978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14B-4B0F-9389-EA65AA92981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earth行残差</c:v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ALL!$E$82:$E$88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46.510966569326897</c:v>
                      </c:pt>
                      <c:pt idx="1">
                        <c:v>43.9736553101569</c:v>
                      </c:pt>
                      <c:pt idx="2">
                        <c:v>41.929936300227901</c:v>
                      </c:pt>
                      <c:pt idx="3">
                        <c:v>40.234855049436398</c:v>
                      </c:pt>
                      <c:pt idx="4">
                        <c:v>38.774687602032301</c:v>
                      </c:pt>
                      <c:pt idx="5">
                        <c:v>37.542791483713401</c:v>
                      </c:pt>
                      <c:pt idx="6">
                        <c:v>36.552705791610499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ALL!$C$82:$C$88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2.9995486790182002</c:v>
                      </c:pt>
                      <c:pt idx="1">
                        <c:v>3.64365640170187</c:v>
                      </c:pt>
                      <c:pt idx="2">
                        <c:v>4.2240896967194903</c:v>
                      </c:pt>
                      <c:pt idx="3">
                        <c:v>4.7358972914455704</c:v>
                      </c:pt>
                      <c:pt idx="4">
                        <c:v>5.2018945171389603</c:v>
                      </c:pt>
                      <c:pt idx="5">
                        <c:v>5.6550979333366103</c:v>
                      </c:pt>
                      <c:pt idx="6">
                        <c:v>6.1799136910202099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14B-4B0F-9389-EA65AA929810}"/>
                  </c:ext>
                </c:extLst>
              </c15:ser>
            </c15:filteredScatterSeries>
          </c:ext>
        </c:extLst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'earth'JPEG</a:t>
            </a:r>
            <a:r>
              <a:rPr lang="zh-CN" altLang="en-US"/>
              <a:t>与行残差性能对比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ALL!$I$24</c:f>
              <c:strCache>
                <c:ptCount val="1"/>
                <c:pt idx="0">
                  <c:v>earth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ALL!$E$24:$E$34</c:f>
              <c:numCache>
                <c:formatCode>General</c:formatCode>
                <c:ptCount val="11"/>
                <c:pt idx="0">
                  <c:v>39.044461395706101</c:v>
                </c:pt>
                <c:pt idx="1">
                  <c:v>39.460716473793703</c:v>
                </c:pt>
                <c:pt idx="2">
                  <c:v>39.935899521428198</c:v>
                </c:pt>
                <c:pt idx="3">
                  <c:v>40.511139819098297</c:v>
                </c:pt>
                <c:pt idx="4">
                  <c:v>41.200485536319</c:v>
                </c:pt>
                <c:pt idx="5">
                  <c:v>42.001897370026498</c:v>
                </c:pt>
                <c:pt idx="6">
                  <c:v>43.086289678667697</c:v>
                </c:pt>
                <c:pt idx="7">
                  <c:v>44.395207606970502</c:v>
                </c:pt>
                <c:pt idx="8">
                  <c:v>46.204554834038397</c:v>
                </c:pt>
                <c:pt idx="9">
                  <c:v>48.915593785772401</c:v>
                </c:pt>
                <c:pt idx="10">
                  <c:v>51.329846982579603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5-4D19-92AF-A2EDD472BD0F}"/>
            </c:ext>
          </c:extLst>
        </c:ser>
        <c:ser>
          <c:idx val="5"/>
          <c:order val="5"/>
          <c:tx>
            <c:v>earth行残差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ALL!$E$82:$E$88</c:f>
              <c:numCache>
                <c:formatCode>General</c:formatCode>
                <c:ptCount val="7"/>
                <c:pt idx="0">
                  <c:v>46.510966569326897</c:v>
                </c:pt>
                <c:pt idx="1">
                  <c:v>43.9736553101569</c:v>
                </c:pt>
                <c:pt idx="2">
                  <c:v>41.929936300227901</c:v>
                </c:pt>
                <c:pt idx="3">
                  <c:v>40.234855049436398</c:v>
                </c:pt>
                <c:pt idx="4">
                  <c:v>38.774687602032301</c:v>
                </c:pt>
                <c:pt idx="5">
                  <c:v>37.542791483713401</c:v>
                </c:pt>
                <c:pt idx="6">
                  <c:v>36.552705791610499</c:v>
                </c:pt>
              </c:numCache>
            </c:numRef>
          </c:xVal>
          <c:yVal>
            <c:numRef>
              <c:f>ALL!$C$82:$C$88</c:f>
              <c:numCache>
                <c:formatCode>General</c:formatCode>
                <c:ptCount val="7"/>
                <c:pt idx="0">
                  <c:v>2.9995486790182002</c:v>
                </c:pt>
                <c:pt idx="1">
                  <c:v>3.64365640170187</c:v>
                </c:pt>
                <c:pt idx="2">
                  <c:v>4.2240896967194903</c:v>
                </c:pt>
                <c:pt idx="3">
                  <c:v>4.7358972914455704</c:v>
                </c:pt>
                <c:pt idx="4">
                  <c:v>5.2018945171389603</c:v>
                </c:pt>
                <c:pt idx="5">
                  <c:v>5.6550979333366103</c:v>
                </c:pt>
                <c:pt idx="6">
                  <c:v>6.1799136910202099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5-4D19-92AF-A2EDD472B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ALL!$I$2</c15:sqref>
                        </c15:formulaRef>
                      </c:ext>
                    </c:extLst>
                    <c:strCache>
                      <c:ptCount val="1"/>
                      <c:pt idx="0">
                        <c:v>bar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ALL!$E$2:$E$12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38.933721436558599</c:v>
                      </c:pt>
                      <c:pt idx="1">
                        <c:v>39.275047815141001</c:v>
                      </c:pt>
                      <c:pt idx="2">
                        <c:v>39.647615986688301</c:v>
                      </c:pt>
                      <c:pt idx="3">
                        <c:v>40.146591720485297</c:v>
                      </c:pt>
                      <c:pt idx="4">
                        <c:v>40.802983800400703</c:v>
                      </c:pt>
                      <c:pt idx="5">
                        <c:v>41.5905570104918</c:v>
                      </c:pt>
                      <c:pt idx="6">
                        <c:v>42.755876694084002</c:v>
                      </c:pt>
                      <c:pt idx="7">
                        <c:v>44.165840583905997</c:v>
                      </c:pt>
                      <c:pt idx="8">
                        <c:v>46.087197635795903</c:v>
                      </c:pt>
                      <c:pt idx="9">
                        <c:v>48.471171604074399</c:v>
                      </c:pt>
                      <c:pt idx="10">
                        <c:v>50.627786525939598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ALL!$C$2:$C$12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9.9882308172758094</c:v>
                      </c:pt>
                      <c:pt idx="1">
                        <c:v>9.3078512551265096</c:v>
                      </c:pt>
                      <c:pt idx="2">
                        <c:v>8.7574964101697805</c:v>
                      </c:pt>
                      <c:pt idx="3">
                        <c:v>7.9477813593557798</c:v>
                      </c:pt>
                      <c:pt idx="4">
                        <c:v>7.1102739389395202</c:v>
                      </c:pt>
                      <c:pt idx="5">
                        <c:v>6.3871337367730403</c:v>
                      </c:pt>
                      <c:pt idx="6">
                        <c:v>5.5299490012258596</c:v>
                      </c:pt>
                      <c:pt idx="7">
                        <c:v>4.8561188987239099</c:v>
                      </c:pt>
                      <c:pt idx="8">
                        <c:v>4.2210944799662897</c:v>
                      </c:pt>
                      <c:pt idx="9">
                        <c:v>3.2129990935549402</c:v>
                      </c:pt>
                      <c:pt idx="10">
                        <c:v>2.5229663835656799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FE5-4D19-92AF-A2EDD472BD0F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ALL!$I$13</c15:sqref>
                        </c15:formulaRef>
                      </c:ext>
                    </c:extLst>
                    <c:strCache>
                      <c:ptCount val="1"/>
                      <c:pt idx="0">
                        <c:v>building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ALL!$E$13:$E$23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38.852695146091797</c:v>
                      </c:pt>
                      <c:pt idx="1">
                        <c:v>39.335245291237598</c:v>
                      </c:pt>
                      <c:pt idx="2">
                        <c:v>39.887753520637801</c:v>
                      </c:pt>
                      <c:pt idx="3">
                        <c:v>40.506244609230002</c:v>
                      </c:pt>
                      <c:pt idx="4">
                        <c:v>41.258040194429903</c:v>
                      </c:pt>
                      <c:pt idx="5">
                        <c:v>42.080684388643199</c:v>
                      </c:pt>
                      <c:pt idx="6">
                        <c:v>43.177074231034197</c:v>
                      </c:pt>
                      <c:pt idx="7">
                        <c:v>44.418967131027202</c:v>
                      </c:pt>
                      <c:pt idx="8">
                        <c:v>46.064779882111402</c:v>
                      </c:pt>
                      <c:pt idx="9">
                        <c:v>48.442471359593803</c:v>
                      </c:pt>
                      <c:pt idx="10">
                        <c:v>50.657032986572702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ALL!$C$13:$C$23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8.6855023819230706</c:v>
                      </c:pt>
                      <c:pt idx="1">
                        <c:v>8.2364374442258406</c:v>
                      </c:pt>
                      <c:pt idx="2">
                        <c:v>7.8574225410819603</c:v>
                      </c:pt>
                      <c:pt idx="3">
                        <c:v>7.2322521615491304</c:v>
                      </c:pt>
                      <c:pt idx="4">
                        <c:v>6.5942313196306896</c:v>
                      </c:pt>
                      <c:pt idx="5">
                        <c:v>5.99029927422702</c:v>
                      </c:pt>
                      <c:pt idx="6">
                        <c:v>5.2310709198269096</c:v>
                      </c:pt>
                      <c:pt idx="7">
                        <c:v>4.5893705550801203</c:v>
                      </c:pt>
                      <c:pt idx="8">
                        <c:v>3.94684248794211</c:v>
                      </c:pt>
                      <c:pt idx="9">
                        <c:v>3.0180155267118201</c:v>
                      </c:pt>
                      <c:pt idx="10">
                        <c:v>2.3979988921282098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E5-4D19-92AF-A2EDD472BD0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bar行残差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ALL!$E$68:$E$74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46.264891507150097</c:v>
                      </c:pt>
                      <c:pt idx="1">
                        <c:v>43.744040268512599</c:v>
                      </c:pt>
                      <c:pt idx="2">
                        <c:v>41.677621921270301</c:v>
                      </c:pt>
                      <c:pt idx="3">
                        <c:v>39.973028473224197</c:v>
                      </c:pt>
                      <c:pt idx="4">
                        <c:v>38.528181862752199</c:v>
                      </c:pt>
                      <c:pt idx="5">
                        <c:v>37.334934390020202</c:v>
                      </c:pt>
                      <c:pt idx="6">
                        <c:v>36.409602400368698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ALL!$C$68:$C$74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3.0372879237436101</c:v>
                      </c:pt>
                      <c:pt idx="1">
                        <c:v>3.63755012683009</c:v>
                      </c:pt>
                      <c:pt idx="2">
                        <c:v>4.1345317945813997</c:v>
                      </c:pt>
                      <c:pt idx="3">
                        <c:v>4.58371648864681</c:v>
                      </c:pt>
                      <c:pt idx="4">
                        <c:v>4.9996986099892702</c:v>
                      </c:pt>
                      <c:pt idx="5">
                        <c:v>5.4352204170252501</c:v>
                      </c:pt>
                      <c:pt idx="6">
                        <c:v>6.03429209978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FE5-4D19-92AF-A2EDD472BD0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building行残差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ALL!$E$75:$E$81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46.245507867434497</c:v>
                      </c:pt>
                      <c:pt idx="1">
                        <c:v>43.735145278682701</c:v>
                      </c:pt>
                      <c:pt idx="2">
                        <c:v>41.723736308116898</c:v>
                      </c:pt>
                      <c:pt idx="3">
                        <c:v>40.0664576304288</c:v>
                      </c:pt>
                      <c:pt idx="4">
                        <c:v>38.665991290461598</c:v>
                      </c:pt>
                      <c:pt idx="5">
                        <c:v>37.442560815652797</c:v>
                      </c:pt>
                      <c:pt idx="6">
                        <c:v>36.417989562747103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ALL!$C$77:$C$81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4.13232088991571</c:v>
                      </c:pt>
                      <c:pt idx="1">
                        <c:v>4.6176868809235403</c:v>
                      </c:pt>
                      <c:pt idx="2">
                        <c:v>5.0572854974566397</c:v>
                      </c:pt>
                      <c:pt idx="3">
                        <c:v>5.4448491086737896</c:v>
                      </c:pt>
                      <c:pt idx="4">
                        <c:v>5.8853748321890498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FE5-4D19-92AF-A2EDD472BD0F}"/>
                  </c:ext>
                </c:extLst>
              </c15:ser>
            </c15:filteredScatterSeries>
          </c:ext>
        </c:extLst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JPEG </a:t>
            </a:r>
            <a:r>
              <a:rPr lang="zh-CN" altLang="en-US"/>
              <a:t>压缩率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ALL!$I$2</c:f>
              <c:strCache>
                <c:ptCount val="1"/>
                <c:pt idx="0">
                  <c:v>bar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ALL!$E$2:$E$12</c:f>
              <c:numCache>
                <c:formatCode>General</c:formatCode>
                <c:ptCount val="11"/>
                <c:pt idx="0">
                  <c:v>38.933721436558599</c:v>
                </c:pt>
                <c:pt idx="1">
                  <c:v>39.275047815141001</c:v>
                </c:pt>
                <c:pt idx="2">
                  <c:v>39.647615986688301</c:v>
                </c:pt>
                <c:pt idx="3">
                  <c:v>40.146591720485297</c:v>
                </c:pt>
                <c:pt idx="4">
                  <c:v>40.802983800400703</c:v>
                </c:pt>
                <c:pt idx="5">
                  <c:v>41.5905570104918</c:v>
                </c:pt>
                <c:pt idx="6">
                  <c:v>42.755876694084002</c:v>
                </c:pt>
                <c:pt idx="7">
                  <c:v>44.165840583905997</c:v>
                </c:pt>
                <c:pt idx="8">
                  <c:v>46.087197635795903</c:v>
                </c:pt>
                <c:pt idx="9">
                  <c:v>48.471171604074399</c:v>
                </c:pt>
                <c:pt idx="10">
                  <c:v>50.627786525939598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25-4E44-AF08-9B6D9AEF8FA3}"/>
            </c:ext>
          </c:extLst>
        </c:ser>
        <c:ser>
          <c:idx val="1"/>
          <c:order val="1"/>
          <c:tx>
            <c:strRef>
              <c:f>ALL!$I$13</c:f>
              <c:strCache>
                <c:ptCount val="1"/>
                <c:pt idx="0">
                  <c:v>building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ALL!$E$13:$E$23</c:f>
              <c:numCache>
                <c:formatCode>General</c:formatCode>
                <c:ptCount val="11"/>
                <c:pt idx="0">
                  <c:v>38.852695146091797</c:v>
                </c:pt>
                <c:pt idx="1">
                  <c:v>39.335245291237598</c:v>
                </c:pt>
                <c:pt idx="2">
                  <c:v>39.887753520637801</c:v>
                </c:pt>
                <c:pt idx="3">
                  <c:v>40.506244609230002</c:v>
                </c:pt>
                <c:pt idx="4">
                  <c:v>41.258040194429903</c:v>
                </c:pt>
                <c:pt idx="5">
                  <c:v>42.080684388643199</c:v>
                </c:pt>
                <c:pt idx="6">
                  <c:v>43.177074231034197</c:v>
                </c:pt>
                <c:pt idx="7">
                  <c:v>44.418967131027202</c:v>
                </c:pt>
                <c:pt idx="8">
                  <c:v>46.064779882111402</c:v>
                </c:pt>
                <c:pt idx="9">
                  <c:v>48.442471359593803</c:v>
                </c:pt>
                <c:pt idx="10">
                  <c:v>50.657032986572702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25-4E44-AF08-9B6D9AEF8FA3}"/>
            </c:ext>
          </c:extLst>
        </c:ser>
        <c:ser>
          <c:idx val="2"/>
          <c:order val="2"/>
          <c:tx>
            <c:strRef>
              <c:f>ALL!$I$24</c:f>
              <c:strCache>
                <c:ptCount val="1"/>
                <c:pt idx="0">
                  <c:v>earth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ALL!$E$24:$E$34</c:f>
              <c:numCache>
                <c:formatCode>General</c:formatCode>
                <c:ptCount val="11"/>
                <c:pt idx="0">
                  <c:v>39.044461395706101</c:v>
                </c:pt>
                <c:pt idx="1">
                  <c:v>39.460716473793703</c:v>
                </c:pt>
                <c:pt idx="2">
                  <c:v>39.935899521428198</c:v>
                </c:pt>
                <c:pt idx="3">
                  <c:v>40.511139819098297</c:v>
                </c:pt>
                <c:pt idx="4">
                  <c:v>41.200485536319</c:v>
                </c:pt>
                <c:pt idx="5">
                  <c:v>42.001897370026498</c:v>
                </c:pt>
                <c:pt idx="6">
                  <c:v>43.086289678667697</c:v>
                </c:pt>
                <c:pt idx="7">
                  <c:v>44.395207606970502</c:v>
                </c:pt>
                <c:pt idx="8">
                  <c:v>46.204554834038397</c:v>
                </c:pt>
                <c:pt idx="9">
                  <c:v>48.915593785772401</c:v>
                </c:pt>
                <c:pt idx="10">
                  <c:v>51.329846982579603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25-4E44-AF08-9B6D9AEF8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</c:scatterChart>
      <c:valAx>
        <c:axId val="836403904"/>
        <c:scaling>
          <c:orientation val="minMax"/>
          <c:min val="3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 baseline="0"/>
          </a:p>
          <a:p>
            <a:pPr>
              <a:defRPr/>
            </a:pPr>
            <a:r>
              <a:rPr lang="zh-CN" altLang="en-US" baseline="0"/>
              <a:t>压缩倍率</a:t>
            </a:r>
            <a:r>
              <a:rPr lang="en-US" altLang="zh-CN" baseline="0"/>
              <a:t>-</a:t>
            </a:r>
            <a:r>
              <a:rPr lang="zh-CN" altLang="en-US" baseline="0"/>
              <a:t>量化表关系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ALL!$L$2:$L$12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07-4931-B477-491DB75B3CE7}"/>
            </c:ext>
          </c:extLst>
        </c:ser>
        <c:ser>
          <c:idx val="1"/>
          <c:order val="1"/>
          <c:tx>
            <c:strRef>
              <c:f>ALL!$J$35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ALL!$L$35:$L$45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ALL!$C$35:$C$45</c:f>
              <c:numCache>
                <c:formatCode>General</c:formatCode>
                <c:ptCount val="11"/>
                <c:pt idx="0">
                  <c:v>30.295560701809499</c:v>
                </c:pt>
                <c:pt idx="1">
                  <c:v>28.399179490953198</c:v>
                </c:pt>
                <c:pt idx="2">
                  <c:v>26.7609735801955</c:v>
                </c:pt>
                <c:pt idx="3">
                  <c:v>24.3755625384895</c:v>
                </c:pt>
                <c:pt idx="4">
                  <c:v>21.959478923278802</c:v>
                </c:pt>
                <c:pt idx="5">
                  <c:v>19.7577762774342</c:v>
                </c:pt>
                <c:pt idx="6">
                  <c:v>17.185033453193402</c:v>
                </c:pt>
                <c:pt idx="7">
                  <c:v>15.094789800104101</c:v>
                </c:pt>
                <c:pt idx="8">
                  <c:v>13.081562740324999</c:v>
                </c:pt>
                <c:pt idx="9">
                  <c:v>10.1485286020692</c:v>
                </c:pt>
                <c:pt idx="10">
                  <c:v>8.2598209376893692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07-4931-B477-491DB75B3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066480"/>
        <c:axId val="1521067312"/>
      </c:scatterChart>
      <c:valAx>
        <c:axId val="1521066480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7312"/>
        <c:crosses val="autoZero"/>
        <c:crossBetween val="midCat"/>
        <c:majorUnit val="1"/>
      </c:valAx>
      <c:valAx>
        <c:axId val="15210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648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 baseline="0"/>
          </a:p>
          <a:p>
            <a:pPr>
              <a:defRPr/>
            </a:pPr>
            <a:r>
              <a:rPr lang="zh-CN" altLang="en-US" baseline="0"/>
              <a:t>压缩倍率</a:t>
            </a:r>
            <a:r>
              <a:rPr lang="en-US" altLang="zh-CN" baseline="0"/>
              <a:t>-</a:t>
            </a:r>
            <a:r>
              <a:rPr lang="zh-CN" altLang="en-US" baseline="0"/>
              <a:t>量化表关系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ALL!$J$13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ALL!$L$13:$L$23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E8-442F-AD84-4BC194B5A0CF}"/>
            </c:ext>
          </c:extLst>
        </c:ser>
        <c:ser>
          <c:idx val="1"/>
          <c:order val="1"/>
          <c:tx>
            <c:strRef>
              <c:f>ALL!$J$46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ALL!$L$46:$L$56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ALL!$C$46:$C$56</c:f>
              <c:numCache>
                <c:formatCode>General</c:formatCode>
                <c:ptCount val="11"/>
                <c:pt idx="0">
                  <c:v>26.705764814262199</c:v>
                </c:pt>
                <c:pt idx="1">
                  <c:v>25.278154181216799</c:v>
                </c:pt>
                <c:pt idx="2">
                  <c:v>23.974467490312701</c:v>
                </c:pt>
                <c:pt idx="3">
                  <c:v>22.061238343635001</c:v>
                </c:pt>
                <c:pt idx="4">
                  <c:v>20.044863575127</c:v>
                </c:pt>
                <c:pt idx="5">
                  <c:v>18.124957804358999</c:v>
                </c:pt>
                <c:pt idx="6">
                  <c:v>15.835538868714201</c:v>
                </c:pt>
                <c:pt idx="7">
                  <c:v>13.8491972708555</c:v>
                </c:pt>
                <c:pt idx="8">
                  <c:v>11.8628724246313</c:v>
                </c:pt>
                <c:pt idx="9">
                  <c:v>9.1941262131585493</c:v>
                </c:pt>
                <c:pt idx="10">
                  <c:v>7.5902481478340098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E8-442F-AD84-4BC194B5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066480"/>
        <c:axId val="1521067312"/>
      </c:scatterChart>
      <c:valAx>
        <c:axId val="1521066480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7312"/>
        <c:crosses val="autoZero"/>
        <c:crossBetween val="midCat"/>
        <c:majorUnit val="1"/>
      </c:valAx>
      <c:valAx>
        <c:axId val="15210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648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 baseline="0"/>
          </a:p>
          <a:p>
            <a:pPr>
              <a:defRPr/>
            </a:pPr>
            <a:r>
              <a:rPr lang="zh-CN" altLang="en-US" baseline="0"/>
              <a:t>压缩倍率</a:t>
            </a:r>
            <a:r>
              <a:rPr lang="en-US" altLang="zh-CN" baseline="0"/>
              <a:t>-</a:t>
            </a:r>
            <a:r>
              <a:rPr lang="zh-CN" altLang="en-US" baseline="0"/>
              <a:t>量化表关系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ALL!$J$24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ALL!$L$24:$L$34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73-4BC5-9A15-9A69C6177277}"/>
            </c:ext>
          </c:extLst>
        </c:ser>
        <c:ser>
          <c:idx val="1"/>
          <c:order val="1"/>
          <c:tx>
            <c:strRef>
              <c:f>ALL!$J$57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ALL!$L$57:$L$67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ALL!$C$57:$C$67</c:f>
              <c:numCache>
                <c:formatCode>General</c:formatCode>
                <c:ptCount val="11"/>
                <c:pt idx="0">
                  <c:v>34.907512098050702</c:v>
                </c:pt>
                <c:pt idx="1">
                  <c:v>32.736989438859901</c:v>
                </c:pt>
                <c:pt idx="2">
                  <c:v>30.7720522276488</c:v>
                </c:pt>
                <c:pt idx="3">
                  <c:v>28.116496366318799</c:v>
                </c:pt>
                <c:pt idx="4">
                  <c:v>25.313802900048</c:v>
                </c:pt>
                <c:pt idx="5">
                  <c:v>22.6740010134912</c:v>
                </c:pt>
                <c:pt idx="6">
                  <c:v>19.533700720644301</c:v>
                </c:pt>
                <c:pt idx="7">
                  <c:v>16.8397168072085</c:v>
                </c:pt>
                <c:pt idx="8">
                  <c:v>14.128985755963599</c:v>
                </c:pt>
                <c:pt idx="9">
                  <c:v>10.7783829074152</c:v>
                </c:pt>
                <c:pt idx="10">
                  <c:v>8.8532924988063595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73-4BC5-9A15-9A69C6177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066480"/>
        <c:axId val="1521067312"/>
      </c:scatterChart>
      <c:valAx>
        <c:axId val="1521066480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7312"/>
        <c:crosses val="autoZero"/>
        <c:crossBetween val="midCat"/>
        <c:majorUnit val="1"/>
      </c:valAx>
      <c:valAx>
        <c:axId val="15210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648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/>
          </a:p>
          <a:p>
            <a:pPr>
              <a:defRPr/>
            </a:pP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ALL!$E$2:$E$12</c:f>
              <c:numCache>
                <c:formatCode>General</c:formatCode>
                <c:ptCount val="11"/>
                <c:pt idx="0">
                  <c:v>38.933721436558599</c:v>
                </c:pt>
                <c:pt idx="1">
                  <c:v>39.275047815141001</c:v>
                </c:pt>
                <c:pt idx="2">
                  <c:v>39.647615986688301</c:v>
                </c:pt>
                <c:pt idx="3">
                  <c:v>40.146591720485297</c:v>
                </c:pt>
                <c:pt idx="4">
                  <c:v>40.802983800400703</c:v>
                </c:pt>
                <c:pt idx="5">
                  <c:v>41.5905570104918</c:v>
                </c:pt>
                <c:pt idx="6">
                  <c:v>42.755876694084002</c:v>
                </c:pt>
                <c:pt idx="7">
                  <c:v>44.165840583905997</c:v>
                </c:pt>
                <c:pt idx="8">
                  <c:v>46.087197635795903</c:v>
                </c:pt>
                <c:pt idx="9">
                  <c:v>48.471171604074399</c:v>
                </c:pt>
                <c:pt idx="10">
                  <c:v>50.627786525939598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0-4796-8A6F-3EE8E9269A35}"/>
            </c:ext>
          </c:extLst>
        </c:ser>
        <c:ser>
          <c:idx val="1"/>
          <c:order val="1"/>
          <c:tx>
            <c:strRef>
              <c:f>ALL!$J$35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ALL!$E$35:$E$45</c:f>
              <c:numCache>
                <c:formatCode>General</c:formatCode>
                <c:ptCount val="11"/>
                <c:pt idx="0">
                  <c:v>32.228553950380601</c:v>
                </c:pt>
                <c:pt idx="1">
                  <c:v>32.2986700425866</c:v>
                </c:pt>
                <c:pt idx="2">
                  <c:v>32.358913663289698</c:v>
                </c:pt>
                <c:pt idx="3">
                  <c:v>32.429959342589299</c:v>
                </c:pt>
                <c:pt idx="4">
                  <c:v>32.507101991731801</c:v>
                </c:pt>
                <c:pt idx="5">
                  <c:v>32.586580127779897</c:v>
                </c:pt>
                <c:pt idx="6">
                  <c:v>32.6816848442976</c:v>
                </c:pt>
                <c:pt idx="7">
                  <c:v>32.769829424019903</c:v>
                </c:pt>
                <c:pt idx="8">
                  <c:v>32.850891255508401</c:v>
                </c:pt>
                <c:pt idx="9">
                  <c:v>32.912386932158</c:v>
                </c:pt>
                <c:pt idx="10">
                  <c:v>32.941520407920201</c:v>
                </c:pt>
              </c:numCache>
            </c:numRef>
          </c:xVal>
          <c:yVal>
            <c:numRef>
              <c:f>ALL!$C$35:$C$45</c:f>
              <c:numCache>
                <c:formatCode>General</c:formatCode>
                <c:ptCount val="11"/>
                <c:pt idx="0">
                  <c:v>30.295560701809499</c:v>
                </c:pt>
                <c:pt idx="1">
                  <c:v>28.399179490953198</c:v>
                </c:pt>
                <c:pt idx="2">
                  <c:v>26.7609735801955</c:v>
                </c:pt>
                <c:pt idx="3">
                  <c:v>24.3755625384895</c:v>
                </c:pt>
                <c:pt idx="4">
                  <c:v>21.959478923278802</c:v>
                </c:pt>
                <c:pt idx="5">
                  <c:v>19.7577762774342</c:v>
                </c:pt>
                <c:pt idx="6">
                  <c:v>17.185033453193402</c:v>
                </c:pt>
                <c:pt idx="7">
                  <c:v>15.094789800104101</c:v>
                </c:pt>
                <c:pt idx="8">
                  <c:v>13.081562740324999</c:v>
                </c:pt>
                <c:pt idx="9">
                  <c:v>10.1485286020692</c:v>
                </c:pt>
                <c:pt idx="10">
                  <c:v>8.2598209376893692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0-4796-8A6F-3EE8E9269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49648"/>
        <c:axId val="1525050064"/>
      </c:scatterChart>
      <c:valAx>
        <c:axId val="1525049648"/>
        <c:scaling>
          <c:orientation val="minMax"/>
          <c:max val="52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/>
                  <a:t>PSNR</a:t>
                </a:r>
                <a:endParaRPr lang="zh-CN" altLang="en-US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50064"/>
        <c:crosses val="autoZero"/>
        <c:crossBetween val="midCat"/>
        <c:majorUnit val="2"/>
        <c:minorUnit val="1"/>
      </c:valAx>
      <c:valAx>
        <c:axId val="15250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100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4964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/>
          </a:p>
          <a:p>
            <a:pPr>
              <a:defRPr/>
            </a:pP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ALL!$J$13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ALL!$E$13:$E$23</c:f>
              <c:numCache>
                <c:formatCode>General</c:formatCode>
                <c:ptCount val="11"/>
                <c:pt idx="0">
                  <c:v>38.852695146091797</c:v>
                </c:pt>
                <c:pt idx="1">
                  <c:v>39.335245291237598</c:v>
                </c:pt>
                <c:pt idx="2">
                  <c:v>39.887753520637801</c:v>
                </c:pt>
                <c:pt idx="3">
                  <c:v>40.506244609230002</c:v>
                </c:pt>
                <c:pt idx="4">
                  <c:v>41.258040194429903</c:v>
                </c:pt>
                <c:pt idx="5">
                  <c:v>42.080684388643199</c:v>
                </c:pt>
                <c:pt idx="6">
                  <c:v>43.177074231034197</c:v>
                </c:pt>
                <c:pt idx="7">
                  <c:v>44.418967131027202</c:v>
                </c:pt>
                <c:pt idx="8">
                  <c:v>46.064779882111402</c:v>
                </c:pt>
                <c:pt idx="9">
                  <c:v>48.442471359593803</c:v>
                </c:pt>
                <c:pt idx="10">
                  <c:v>50.657032986572702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FD-4E41-9117-EF0A9EBECFC3}"/>
            </c:ext>
          </c:extLst>
        </c:ser>
        <c:ser>
          <c:idx val="1"/>
          <c:order val="1"/>
          <c:tx>
            <c:strRef>
              <c:f>ALL!$J$46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ALL!$E$46:$E$56</c:f>
              <c:numCache>
                <c:formatCode>General</c:formatCode>
                <c:ptCount val="11"/>
                <c:pt idx="0">
                  <c:v>29.474837663537699</c:v>
                </c:pt>
                <c:pt idx="1">
                  <c:v>29.527602680797401</c:v>
                </c:pt>
                <c:pt idx="2">
                  <c:v>29.580185775701999</c:v>
                </c:pt>
                <c:pt idx="3">
                  <c:v>29.634247677098202</c:v>
                </c:pt>
                <c:pt idx="4">
                  <c:v>29.690609099832599</c:v>
                </c:pt>
                <c:pt idx="5">
                  <c:v>29.742817180289801</c:v>
                </c:pt>
                <c:pt idx="6">
                  <c:v>29.7979070548894</c:v>
                </c:pt>
                <c:pt idx="7">
                  <c:v>29.846046727651</c:v>
                </c:pt>
                <c:pt idx="8">
                  <c:v>29.892953569534001</c:v>
                </c:pt>
                <c:pt idx="9">
                  <c:v>29.9292144453239</c:v>
                </c:pt>
                <c:pt idx="10">
                  <c:v>29.946296812831701</c:v>
                </c:pt>
              </c:numCache>
            </c:numRef>
          </c:xVal>
          <c:yVal>
            <c:numRef>
              <c:f>ALL!$C$46:$C$56</c:f>
              <c:numCache>
                <c:formatCode>General</c:formatCode>
                <c:ptCount val="11"/>
                <c:pt idx="0">
                  <c:v>26.705764814262199</c:v>
                </c:pt>
                <c:pt idx="1">
                  <c:v>25.278154181216799</c:v>
                </c:pt>
                <c:pt idx="2">
                  <c:v>23.974467490312701</c:v>
                </c:pt>
                <c:pt idx="3">
                  <c:v>22.061238343635001</c:v>
                </c:pt>
                <c:pt idx="4">
                  <c:v>20.044863575127</c:v>
                </c:pt>
                <c:pt idx="5">
                  <c:v>18.124957804358999</c:v>
                </c:pt>
                <c:pt idx="6">
                  <c:v>15.835538868714201</c:v>
                </c:pt>
                <c:pt idx="7">
                  <c:v>13.8491972708555</c:v>
                </c:pt>
                <c:pt idx="8">
                  <c:v>11.8628724246313</c:v>
                </c:pt>
                <c:pt idx="9">
                  <c:v>9.1941262131585493</c:v>
                </c:pt>
                <c:pt idx="10">
                  <c:v>7.5902481478340098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FD-4E41-9117-EF0A9EBEC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49648"/>
        <c:axId val="1525050064"/>
      </c:scatterChart>
      <c:valAx>
        <c:axId val="1525049648"/>
        <c:scaling>
          <c:orientation val="minMax"/>
          <c:max val="52"/>
          <c:min val="2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/>
                  <a:t>PSNR</a:t>
                </a:r>
                <a:endParaRPr lang="zh-CN" altLang="en-US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50064"/>
        <c:crosses val="autoZero"/>
        <c:crossBetween val="midCat"/>
        <c:majorUnit val="2"/>
        <c:minorUnit val="1"/>
      </c:valAx>
      <c:valAx>
        <c:axId val="15250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100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4964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/>
          </a:p>
          <a:p>
            <a:pPr>
              <a:defRPr/>
            </a:pP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ALL!$J$24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ALL!$E$24:$E$34</c:f>
              <c:numCache>
                <c:formatCode>General</c:formatCode>
                <c:ptCount val="11"/>
                <c:pt idx="0">
                  <c:v>39.044461395706101</c:v>
                </c:pt>
                <c:pt idx="1">
                  <c:v>39.460716473793703</c:v>
                </c:pt>
                <c:pt idx="2">
                  <c:v>39.935899521428198</c:v>
                </c:pt>
                <c:pt idx="3">
                  <c:v>40.511139819098297</c:v>
                </c:pt>
                <c:pt idx="4">
                  <c:v>41.200485536319</c:v>
                </c:pt>
                <c:pt idx="5">
                  <c:v>42.001897370026498</c:v>
                </c:pt>
                <c:pt idx="6">
                  <c:v>43.086289678667697</c:v>
                </c:pt>
                <c:pt idx="7">
                  <c:v>44.395207606970502</c:v>
                </c:pt>
                <c:pt idx="8">
                  <c:v>46.204554834038397</c:v>
                </c:pt>
                <c:pt idx="9">
                  <c:v>48.915593785772401</c:v>
                </c:pt>
                <c:pt idx="10">
                  <c:v>51.329846982579603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4E-441A-8DC8-AA3241A2EC34}"/>
            </c:ext>
          </c:extLst>
        </c:ser>
        <c:ser>
          <c:idx val="1"/>
          <c:order val="1"/>
          <c:tx>
            <c:strRef>
              <c:f>ALL!$J$57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ALL!$E$57:$E$67</c:f>
              <c:numCache>
                <c:formatCode>General</c:formatCode>
                <c:ptCount val="11"/>
                <c:pt idx="0">
                  <c:v>30.190658056456002</c:v>
                </c:pt>
                <c:pt idx="1">
                  <c:v>30.243888666671602</c:v>
                </c:pt>
                <c:pt idx="2">
                  <c:v>30.298934588593902</c:v>
                </c:pt>
                <c:pt idx="3">
                  <c:v>30.357757811593501</c:v>
                </c:pt>
                <c:pt idx="4">
                  <c:v>30.418658724880999</c:v>
                </c:pt>
                <c:pt idx="5">
                  <c:v>30.475841327370699</c:v>
                </c:pt>
                <c:pt idx="6">
                  <c:v>30.5356432897701</c:v>
                </c:pt>
                <c:pt idx="7">
                  <c:v>30.587049101573999</c:v>
                </c:pt>
                <c:pt idx="8">
                  <c:v>30.638169189671999</c:v>
                </c:pt>
                <c:pt idx="9">
                  <c:v>30.678983391937699</c:v>
                </c:pt>
                <c:pt idx="10">
                  <c:v>30.698718100013</c:v>
                </c:pt>
              </c:numCache>
            </c:numRef>
          </c:xVal>
          <c:yVal>
            <c:numRef>
              <c:f>ALL!$C$57:$C$67</c:f>
              <c:numCache>
                <c:formatCode>General</c:formatCode>
                <c:ptCount val="11"/>
                <c:pt idx="0">
                  <c:v>34.907512098050702</c:v>
                </c:pt>
                <c:pt idx="1">
                  <c:v>32.736989438859901</c:v>
                </c:pt>
                <c:pt idx="2">
                  <c:v>30.7720522276488</c:v>
                </c:pt>
                <c:pt idx="3">
                  <c:v>28.116496366318799</c:v>
                </c:pt>
                <c:pt idx="4">
                  <c:v>25.313802900048</c:v>
                </c:pt>
                <c:pt idx="5">
                  <c:v>22.6740010134912</c:v>
                </c:pt>
                <c:pt idx="6">
                  <c:v>19.533700720644301</c:v>
                </c:pt>
                <c:pt idx="7">
                  <c:v>16.8397168072085</c:v>
                </c:pt>
                <c:pt idx="8">
                  <c:v>14.128985755963599</c:v>
                </c:pt>
                <c:pt idx="9">
                  <c:v>10.7783829074152</c:v>
                </c:pt>
                <c:pt idx="10">
                  <c:v>8.8532924988063595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4E-441A-8DC8-AA3241A2E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49648"/>
        <c:axId val="1525050064"/>
      </c:scatterChart>
      <c:valAx>
        <c:axId val="1525049648"/>
        <c:scaling>
          <c:orientation val="minMax"/>
          <c:max val="52"/>
          <c:min val="2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/>
                  <a:t>PSNR</a:t>
                </a:r>
                <a:endParaRPr lang="zh-CN" altLang="en-US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50064"/>
        <c:crosses val="autoZero"/>
        <c:crossBetween val="midCat"/>
        <c:majorUnit val="2"/>
        <c:minorUnit val="1"/>
      </c:valAx>
      <c:valAx>
        <c:axId val="15250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100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4964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251460</xdr:colOff>
      <xdr:row>18</xdr:row>
      <xdr:rowOff>121920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485775</xdr:colOff>
      <xdr:row>0</xdr:row>
      <xdr:rowOff>0</xdr:rowOff>
    </xdr:from>
    <xdr:to>
      <xdr:col>19</xdr:col>
      <xdr:colOff>51435</xdr:colOff>
      <xdr:row>18</xdr:row>
      <xdr:rowOff>121920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9</xdr:col>
      <xdr:colOff>251460</xdr:colOff>
      <xdr:row>38</xdr:row>
      <xdr:rowOff>121920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485775</xdr:colOff>
      <xdr:row>20</xdr:row>
      <xdr:rowOff>0</xdr:rowOff>
    </xdr:from>
    <xdr:to>
      <xdr:col>19</xdr:col>
      <xdr:colOff>51435</xdr:colOff>
      <xdr:row>38</xdr:row>
      <xdr:rowOff>121920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251460</xdr:colOff>
      <xdr:row>58</xdr:row>
      <xdr:rowOff>121920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485775</xdr:colOff>
      <xdr:row>40</xdr:row>
      <xdr:rowOff>0</xdr:rowOff>
    </xdr:from>
    <xdr:to>
      <xdr:col>19</xdr:col>
      <xdr:colOff>51435</xdr:colOff>
      <xdr:row>58</xdr:row>
      <xdr:rowOff>121920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335280</xdr:colOff>
      <xdr:row>0</xdr:row>
      <xdr:rowOff>22860</xdr:rowOff>
    </xdr:from>
    <xdr:to>
      <xdr:col>19</xdr:col>
      <xdr:colOff>30480</xdr:colOff>
      <xdr:row>15</xdr:row>
      <xdr:rowOff>137160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327660</xdr:colOff>
      <xdr:row>16</xdr:row>
      <xdr:rowOff>45720</xdr:rowOff>
    </xdr:from>
    <xdr:to>
      <xdr:col>19</xdr:col>
      <xdr:colOff>22860</xdr:colOff>
      <xdr:row>31</xdr:row>
      <xdr:rowOff>160020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320040</xdr:colOff>
      <xdr:row>32</xdr:row>
      <xdr:rowOff>83820</xdr:rowOff>
    </xdr:from>
    <xdr:to>
      <xdr:col>19</xdr:col>
      <xdr:colOff>15240</xdr:colOff>
      <xdr:row>48</xdr:row>
      <xdr:rowOff>22860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15240</xdr:colOff>
      <xdr:row>0</xdr:row>
      <xdr:rowOff>0</xdr:rowOff>
    </xdr:from>
    <xdr:to>
      <xdr:col>19</xdr:col>
      <xdr:colOff>320040</xdr:colOff>
      <xdr:row>15</xdr:row>
      <xdr:rowOff>114300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7620</xdr:colOff>
      <xdr:row>16</xdr:row>
      <xdr:rowOff>22860</xdr:rowOff>
    </xdr:from>
    <xdr:to>
      <xdr:col>19</xdr:col>
      <xdr:colOff>312420</xdr:colOff>
      <xdr:row>31</xdr:row>
      <xdr:rowOff>137160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0</xdr:colOff>
      <xdr:row>32</xdr:row>
      <xdr:rowOff>60960</xdr:rowOff>
    </xdr:from>
    <xdr:to>
      <xdr:col>19</xdr:col>
      <xdr:colOff>304800</xdr:colOff>
      <xdr:row>48</xdr:row>
      <xdr:rowOff>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0</xdr:colOff>
      <xdr:row>50</xdr:row>
      <xdr:rowOff>0</xdr:rowOff>
    </xdr:from>
    <xdr:to>
      <xdr:col>19</xdr:col>
      <xdr:colOff>304800</xdr:colOff>
      <xdr:row>65</xdr:row>
      <xdr:rowOff>114300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251460</xdr:colOff>
      <xdr:row>18</xdr:row>
      <xdr:rowOff>121920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68580</xdr:rowOff>
    </xdr:from>
    <xdr:to>
      <xdr:col>9</xdr:col>
      <xdr:colOff>251460</xdr:colOff>
      <xdr:row>38</xdr:row>
      <xdr:rowOff>15240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350520</xdr:colOff>
      <xdr:row>0</xdr:row>
      <xdr:rowOff>0</xdr:rowOff>
    </xdr:from>
    <xdr:to>
      <xdr:col>18</xdr:col>
      <xdr:colOff>601980</xdr:colOff>
      <xdr:row>18</xdr:row>
      <xdr:rowOff>121920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251460</xdr:colOff>
      <xdr:row>18</xdr:row>
      <xdr:rowOff>121920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394447</xdr:colOff>
      <xdr:row>23</xdr:row>
      <xdr:rowOff>164502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24</xdr:row>
      <xdr:rowOff>75751</xdr:rowOff>
    </xdr:from>
    <xdr:to>
      <xdr:col>10</xdr:col>
      <xdr:colOff>394447</xdr:colOff>
      <xdr:row>48</xdr:row>
      <xdr:rowOff>64993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48</xdr:row>
      <xdr:rowOff>173915</xdr:rowOff>
    </xdr:from>
    <xdr:to>
      <xdr:col>10</xdr:col>
      <xdr:colOff>394447</xdr:colOff>
      <xdr:row>72</xdr:row>
      <xdr:rowOff>163157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21</xdr:col>
      <xdr:colOff>591671</xdr:colOff>
      <xdr:row>20</xdr:row>
      <xdr:rowOff>138314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22</xdr:row>
      <xdr:rowOff>0</xdr:rowOff>
    </xdr:from>
    <xdr:to>
      <xdr:col>21</xdr:col>
      <xdr:colOff>591671</xdr:colOff>
      <xdr:row>42</xdr:row>
      <xdr:rowOff>138314</xdr:rowOff>
    </xdr:to>
    <xdr:graphicFrame macro="">
      <xdr:nvGraphicFramePr>
        <xdr:cNvPr id="10" name="图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44</xdr:row>
      <xdr:rowOff>0</xdr:rowOff>
    </xdr:from>
    <xdr:to>
      <xdr:col>21</xdr:col>
      <xdr:colOff>591671</xdr:colOff>
      <xdr:row>64</xdr:row>
      <xdr:rowOff>138315</xdr:rowOff>
    </xdr:to>
    <xdr:graphicFrame macro="">
      <xdr:nvGraphicFramePr>
        <xdr:cNvPr id="11" name="图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3" connectionId="39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6" connectionId="137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" connectionId="20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4" connectionId="62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" connectionId="77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3" connectionId="67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8" connectionId="176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3" connectionId="84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" connectionId="64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8" connectionId="138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2" connectionId="70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3" connectionId="40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24" connectionId="118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2" connectionId="43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7" connectionId="99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" connectionId="22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25" connectionId="105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6" connectionId="102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6" connectionId="112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1" connectionId="46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5" connectionId="115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0" connectionId="28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6" connectionId="144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27" connectionId="159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" connectionId="78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4" connectionId="8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9" connectionId="173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1" connectionId="25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0" connectionId="170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" connectionId="153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7" connectionId="141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8" connectionId="156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46" connectionId="172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51" connectionId="80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33" connectionId="86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34" connectionId="72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49" connectionId="10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53" connectionId="42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5" connectionId="27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28" connectionId="178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42" connectionId="83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30" connectionId="146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47" connectionId="155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36" connectionId="30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39" connectionId="143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52" connectionId="66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48" connectionId="140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38" connectionId="158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37" connectionId="175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55" connectionId="7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41" connectionId="117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31" connectionId="107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44" connectionId="45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32" connectionId="120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35" connectionId="48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43" connectionId="69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54" connectionId="24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50" connectionId="114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29" connectionId="161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40" connectionId="104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7" connectionId="19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6" connectionId="61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4" connectionId="150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3" connectionId="59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2" connectionId="17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5" connectionId="149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8" connectionId="37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21" connectionId="135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4" connectionId="13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5" connectionId="18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22" connectionId="151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3" connectionId="75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7" connectionId="33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14" connectionId="89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1" connectionId="60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3" connectionId="9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7" connectionId="97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0" connectionId="55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5" connectionId="93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23" connectionId="164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18" connectionId="123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6" connectionId="110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20" connectionId="131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24" connectionId="168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19" connectionId="127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9" connectionId="51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8" connectionId="57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8" connectionId="147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17" connectionId="133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4" connectionId="108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9" connectionId="162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0" connectionId="87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9" connectionId="73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6" connectionId="49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2" connectionId="95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5" connectionId="35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6" connectionId="129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21" connectionId="179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1" connectionId="91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3" connectionId="15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3" connectionId="121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2" connectionId="11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7" connectionId="53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4" connectionId="31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15" connectionId="125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20" connectionId="166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27" connectionId="167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38" connectionId="16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6" connectionId="50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34" connectionId="32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17" connectionId="98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4" connectionId="14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21" connectionId="136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5" connectionId="21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26" connectionId="126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35" connectionId="58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23" connectionId="165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13" connectionId="76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18" connectionId="124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30" connectionId="74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14" connectionId="90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40" connectionId="92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41" connectionId="130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16" connectionId="111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33" connectionId="148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22" connectionId="152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29" connectionId="109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24" connectionId="169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25" connectionId="88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36" connectionId="54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39" connectionId="180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3" connectionId="10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8" connectionId="38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19" connectionId="128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10" connectionId="56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2" connectionId="12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20" connectionId="132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7" connectionId="34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31" connectionId="163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15" connectionId="94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9" connectionId="52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37" connectionId="134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12" connectionId="96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32" connectionId="122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28" connectionId="36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11" connectionId="63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.xml"/><Relationship Id="rId13" Type="http://schemas.openxmlformats.org/officeDocument/2006/relationships/queryTable" Target="../queryTables/queryTable18.xml"/><Relationship Id="rId18" Type="http://schemas.openxmlformats.org/officeDocument/2006/relationships/queryTable" Target="../queryTables/queryTable23.xml"/><Relationship Id="rId26" Type="http://schemas.openxmlformats.org/officeDocument/2006/relationships/queryTable" Target="../queryTables/queryTable31.xml"/><Relationship Id="rId3" Type="http://schemas.openxmlformats.org/officeDocument/2006/relationships/queryTable" Target="../queryTables/queryTable8.xml"/><Relationship Id="rId21" Type="http://schemas.openxmlformats.org/officeDocument/2006/relationships/queryTable" Target="../queryTables/queryTable26.xml"/><Relationship Id="rId7" Type="http://schemas.openxmlformats.org/officeDocument/2006/relationships/queryTable" Target="../queryTables/queryTable12.xml"/><Relationship Id="rId12" Type="http://schemas.openxmlformats.org/officeDocument/2006/relationships/queryTable" Target="../queryTables/queryTable17.xml"/><Relationship Id="rId17" Type="http://schemas.openxmlformats.org/officeDocument/2006/relationships/queryTable" Target="../queryTables/queryTable22.xml"/><Relationship Id="rId25" Type="http://schemas.openxmlformats.org/officeDocument/2006/relationships/queryTable" Target="../queryTables/queryTable30.xml"/><Relationship Id="rId2" Type="http://schemas.openxmlformats.org/officeDocument/2006/relationships/queryTable" Target="../queryTables/queryTable7.xml"/><Relationship Id="rId16" Type="http://schemas.openxmlformats.org/officeDocument/2006/relationships/queryTable" Target="../queryTables/queryTable21.xml"/><Relationship Id="rId20" Type="http://schemas.openxmlformats.org/officeDocument/2006/relationships/queryTable" Target="../queryTables/queryTable25.xml"/><Relationship Id="rId29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1.xml"/><Relationship Id="rId11" Type="http://schemas.openxmlformats.org/officeDocument/2006/relationships/queryTable" Target="../queryTables/queryTable16.xml"/><Relationship Id="rId24" Type="http://schemas.openxmlformats.org/officeDocument/2006/relationships/queryTable" Target="../queryTables/queryTable29.xml"/><Relationship Id="rId5" Type="http://schemas.openxmlformats.org/officeDocument/2006/relationships/queryTable" Target="../queryTables/queryTable10.xml"/><Relationship Id="rId15" Type="http://schemas.openxmlformats.org/officeDocument/2006/relationships/queryTable" Target="../queryTables/queryTable20.xml"/><Relationship Id="rId23" Type="http://schemas.openxmlformats.org/officeDocument/2006/relationships/queryTable" Target="../queryTables/queryTable28.xml"/><Relationship Id="rId28" Type="http://schemas.openxmlformats.org/officeDocument/2006/relationships/queryTable" Target="../queryTables/queryTable33.xml"/><Relationship Id="rId10" Type="http://schemas.openxmlformats.org/officeDocument/2006/relationships/queryTable" Target="../queryTables/queryTable15.xml"/><Relationship Id="rId19" Type="http://schemas.openxmlformats.org/officeDocument/2006/relationships/queryTable" Target="../queryTables/queryTable24.xml"/><Relationship Id="rId4" Type="http://schemas.openxmlformats.org/officeDocument/2006/relationships/queryTable" Target="../queryTables/queryTable9.xml"/><Relationship Id="rId9" Type="http://schemas.openxmlformats.org/officeDocument/2006/relationships/queryTable" Target="../queryTables/queryTable14.xml"/><Relationship Id="rId14" Type="http://schemas.openxmlformats.org/officeDocument/2006/relationships/queryTable" Target="../queryTables/queryTable19.xml"/><Relationship Id="rId22" Type="http://schemas.openxmlformats.org/officeDocument/2006/relationships/queryTable" Target="../queryTables/queryTable27.xml"/><Relationship Id="rId27" Type="http://schemas.openxmlformats.org/officeDocument/2006/relationships/queryTable" Target="../queryTables/queryTable3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1.xml"/><Relationship Id="rId13" Type="http://schemas.openxmlformats.org/officeDocument/2006/relationships/queryTable" Target="../queryTables/queryTable46.xml"/><Relationship Id="rId18" Type="http://schemas.openxmlformats.org/officeDocument/2006/relationships/queryTable" Target="../queryTables/queryTable51.xml"/><Relationship Id="rId26" Type="http://schemas.openxmlformats.org/officeDocument/2006/relationships/queryTable" Target="../queryTables/queryTable59.xml"/><Relationship Id="rId3" Type="http://schemas.openxmlformats.org/officeDocument/2006/relationships/queryTable" Target="../queryTables/queryTable36.xml"/><Relationship Id="rId21" Type="http://schemas.openxmlformats.org/officeDocument/2006/relationships/queryTable" Target="../queryTables/queryTable54.xml"/><Relationship Id="rId7" Type="http://schemas.openxmlformats.org/officeDocument/2006/relationships/queryTable" Target="../queryTables/queryTable40.xml"/><Relationship Id="rId12" Type="http://schemas.openxmlformats.org/officeDocument/2006/relationships/queryTable" Target="../queryTables/queryTable45.xml"/><Relationship Id="rId17" Type="http://schemas.openxmlformats.org/officeDocument/2006/relationships/queryTable" Target="../queryTables/queryTable50.xml"/><Relationship Id="rId25" Type="http://schemas.openxmlformats.org/officeDocument/2006/relationships/queryTable" Target="../queryTables/queryTable58.xml"/><Relationship Id="rId2" Type="http://schemas.openxmlformats.org/officeDocument/2006/relationships/queryTable" Target="../queryTables/queryTable35.xml"/><Relationship Id="rId16" Type="http://schemas.openxmlformats.org/officeDocument/2006/relationships/queryTable" Target="../queryTables/queryTable49.xml"/><Relationship Id="rId20" Type="http://schemas.openxmlformats.org/officeDocument/2006/relationships/queryTable" Target="../queryTables/queryTable53.xml"/><Relationship Id="rId29" Type="http://schemas.openxmlformats.org/officeDocument/2006/relationships/queryTable" Target="../queryTables/queryTable62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39.xml"/><Relationship Id="rId11" Type="http://schemas.openxmlformats.org/officeDocument/2006/relationships/queryTable" Target="../queryTables/queryTable44.xml"/><Relationship Id="rId24" Type="http://schemas.openxmlformats.org/officeDocument/2006/relationships/queryTable" Target="../queryTables/queryTable57.xml"/><Relationship Id="rId5" Type="http://schemas.openxmlformats.org/officeDocument/2006/relationships/queryTable" Target="../queryTables/queryTable38.xml"/><Relationship Id="rId15" Type="http://schemas.openxmlformats.org/officeDocument/2006/relationships/queryTable" Target="../queryTables/queryTable48.xml"/><Relationship Id="rId23" Type="http://schemas.openxmlformats.org/officeDocument/2006/relationships/queryTable" Target="../queryTables/queryTable56.xml"/><Relationship Id="rId28" Type="http://schemas.openxmlformats.org/officeDocument/2006/relationships/queryTable" Target="../queryTables/queryTable61.xml"/><Relationship Id="rId10" Type="http://schemas.openxmlformats.org/officeDocument/2006/relationships/queryTable" Target="../queryTables/queryTable43.xml"/><Relationship Id="rId19" Type="http://schemas.openxmlformats.org/officeDocument/2006/relationships/queryTable" Target="../queryTables/queryTable52.xml"/><Relationship Id="rId4" Type="http://schemas.openxmlformats.org/officeDocument/2006/relationships/queryTable" Target="../queryTables/queryTable37.xml"/><Relationship Id="rId9" Type="http://schemas.openxmlformats.org/officeDocument/2006/relationships/queryTable" Target="../queryTables/queryTable42.xml"/><Relationship Id="rId14" Type="http://schemas.openxmlformats.org/officeDocument/2006/relationships/queryTable" Target="../queryTables/queryTable47.xml"/><Relationship Id="rId22" Type="http://schemas.openxmlformats.org/officeDocument/2006/relationships/queryTable" Target="../queryTables/queryTable55.xml"/><Relationship Id="rId27" Type="http://schemas.openxmlformats.org/officeDocument/2006/relationships/queryTable" Target="../queryTables/queryTable6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9.xml"/><Relationship Id="rId3" Type="http://schemas.openxmlformats.org/officeDocument/2006/relationships/queryTable" Target="../queryTables/queryTable64.xml"/><Relationship Id="rId7" Type="http://schemas.openxmlformats.org/officeDocument/2006/relationships/queryTable" Target="../queryTables/queryTable68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7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6.xml"/><Relationship Id="rId13" Type="http://schemas.openxmlformats.org/officeDocument/2006/relationships/queryTable" Target="../queryTables/queryTable81.xml"/><Relationship Id="rId18" Type="http://schemas.openxmlformats.org/officeDocument/2006/relationships/queryTable" Target="../queryTables/queryTable86.xml"/><Relationship Id="rId3" Type="http://schemas.openxmlformats.org/officeDocument/2006/relationships/queryTable" Target="../queryTables/queryTable71.xml"/><Relationship Id="rId21" Type="http://schemas.openxmlformats.org/officeDocument/2006/relationships/queryTable" Target="../queryTables/queryTable89.xml"/><Relationship Id="rId7" Type="http://schemas.openxmlformats.org/officeDocument/2006/relationships/queryTable" Target="../queryTables/queryTable75.xml"/><Relationship Id="rId12" Type="http://schemas.openxmlformats.org/officeDocument/2006/relationships/queryTable" Target="../queryTables/queryTable80.xml"/><Relationship Id="rId17" Type="http://schemas.openxmlformats.org/officeDocument/2006/relationships/queryTable" Target="../queryTables/queryTable85.xml"/><Relationship Id="rId2" Type="http://schemas.openxmlformats.org/officeDocument/2006/relationships/queryTable" Target="../queryTables/queryTable70.xml"/><Relationship Id="rId16" Type="http://schemas.openxmlformats.org/officeDocument/2006/relationships/queryTable" Target="../queryTables/queryTable84.xml"/><Relationship Id="rId20" Type="http://schemas.openxmlformats.org/officeDocument/2006/relationships/queryTable" Target="../queryTables/queryTable88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74.xml"/><Relationship Id="rId11" Type="http://schemas.openxmlformats.org/officeDocument/2006/relationships/queryTable" Target="../queryTables/queryTable79.xml"/><Relationship Id="rId5" Type="http://schemas.openxmlformats.org/officeDocument/2006/relationships/queryTable" Target="../queryTables/queryTable73.xml"/><Relationship Id="rId15" Type="http://schemas.openxmlformats.org/officeDocument/2006/relationships/queryTable" Target="../queryTables/queryTable83.xml"/><Relationship Id="rId10" Type="http://schemas.openxmlformats.org/officeDocument/2006/relationships/queryTable" Target="../queryTables/queryTable78.xml"/><Relationship Id="rId19" Type="http://schemas.openxmlformats.org/officeDocument/2006/relationships/queryTable" Target="../queryTables/queryTable87.xml"/><Relationship Id="rId4" Type="http://schemas.openxmlformats.org/officeDocument/2006/relationships/queryTable" Target="../queryTables/queryTable72.xml"/><Relationship Id="rId9" Type="http://schemas.openxmlformats.org/officeDocument/2006/relationships/queryTable" Target="../queryTables/queryTable77.xml"/><Relationship Id="rId14" Type="http://schemas.openxmlformats.org/officeDocument/2006/relationships/queryTable" Target="../queryTables/queryTable82.xml"/><Relationship Id="rId22" Type="http://schemas.openxmlformats.org/officeDocument/2006/relationships/queryTable" Target="../queryTables/queryTable9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7.xml"/><Relationship Id="rId13" Type="http://schemas.openxmlformats.org/officeDocument/2006/relationships/queryTable" Target="../queryTables/queryTable102.xml"/><Relationship Id="rId18" Type="http://schemas.openxmlformats.org/officeDocument/2006/relationships/queryTable" Target="../queryTables/queryTable107.xml"/><Relationship Id="rId3" Type="http://schemas.openxmlformats.org/officeDocument/2006/relationships/queryTable" Target="../queryTables/queryTable92.xml"/><Relationship Id="rId21" Type="http://schemas.openxmlformats.org/officeDocument/2006/relationships/queryTable" Target="../queryTables/queryTable110.xml"/><Relationship Id="rId7" Type="http://schemas.openxmlformats.org/officeDocument/2006/relationships/queryTable" Target="../queryTables/queryTable96.xml"/><Relationship Id="rId12" Type="http://schemas.openxmlformats.org/officeDocument/2006/relationships/queryTable" Target="../queryTables/queryTable101.xml"/><Relationship Id="rId17" Type="http://schemas.openxmlformats.org/officeDocument/2006/relationships/queryTable" Target="../queryTables/queryTable106.xml"/><Relationship Id="rId2" Type="http://schemas.openxmlformats.org/officeDocument/2006/relationships/queryTable" Target="../queryTables/queryTable91.xml"/><Relationship Id="rId16" Type="http://schemas.openxmlformats.org/officeDocument/2006/relationships/queryTable" Target="../queryTables/queryTable105.xml"/><Relationship Id="rId20" Type="http://schemas.openxmlformats.org/officeDocument/2006/relationships/queryTable" Target="../queryTables/queryTable109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95.xml"/><Relationship Id="rId11" Type="http://schemas.openxmlformats.org/officeDocument/2006/relationships/queryTable" Target="../queryTables/queryTable100.xml"/><Relationship Id="rId5" Type="http://schemas.openxmlformats.org/officeDocument/2006/relationships/queryTable" Target="../queryTables/queryTable94.xml"/><Relationship Id="rId15" Type="http://schemas.openxmlformats.org/officeDocument/2006/relationships/queryTable" Target="../queryTables/queryTable104.xml"/><Relationship Id="rId10" Type="http://schemas.openxmlformats.org/officeDocument/2006/relationships/queryTable" Target="../queryTables/queryTable99.xml"/><Relationship Id="rId19" Type="http://schemas.openxmlformats.org/officeDocument/2006/relationships/queryTable" Target="../queryTables/queryTable108.xml"/><Relationship Id="rId4" Type="http://schemas.openxmlformats.org/officeDocument/2006/relationships/queryTable" Target="../queryTables/queryTable93.xml"/><Relationship Id="rId9" Type="http://schemas.openxmlformats.org/officeDocument/2006/relationships/queryTable" Target="../queryTables/queryTable98.xml"/><Relationship Id="rId14" Type="http://schemas.openxmlformats.org/officeDocument/2006/relationships/queryTable" Target="../queryTables/queryTable103.xml"/><Relationship Id="rId22" Type="http://schemas.openxmlformats.org/officeDocument/2006/relationships/queryTable" Target="../queryTables/queryTable1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3.xml"/><Relationship Id="rId18" Type="http://schemas.openxmlformats.org/officeDocument/2006/relationships/queryTable" Target="../queryTables/queryTable128.xml"/><Relationship Id="rId26" Type="http://schemas.openxmlformats.org/officeDocument/2006/relationships/queryTable" Target="../queryTables/queryTable136.xml"/><Relationship Id="rId39" Type="http://schemas.openxmlformats.org/officeDocument/2006/relationships/queryTable" Target="../queryTables/queryTable149.xml"/><Relationship Id="rId21" Type="http://schemas.openxmlformats.org/officeDocument/2006/relationships/queryTable" Target="../queryTables/queryTable131.xml"/><Relationship Id="rId34" Type="http://schemas.openxmlformats.org/officeDocument/2006/relationships/queryTable" Target="../queryTables/queryTable144.xml"/><Relationship Id="rId42" Type="http://schemas.openxmlformats.org/officeDocument/2006/relationships/queryTable" Target="../queryTables/queryTable152.xml"/><Relationship Id="rId7" Type="http://schemas.openxmlformats.org/officeDocument/2006/relationships/queryTable" Target="../queryTables/queryTable117.xml"/><Relationship Id="rId2" Type="http://schemas.openxmlformats.org/officeDocument/2006/relationships/queryTable" Target="../queryTables/queryTable112.xml"/><Relationship Id="rId16" Type="http://schemas.openxmlformats.org/officeDocument/2006/relationships/queryTable" Target="../queryTables/queryTable126.xml"/><Relationship Id="rId20" Type="http://schemas.openxmlformats.org/officeDocument/2006/relationships/queryTable" Target="../queryTables/queryTable130.xml"/><Relationship Id="rId29" Type="http://schemas.openxmlformats.org/officeDocument/2006/relationships/queryTable" Target="../queryTables/queryTable139.xml"/><Relationship Id="rId41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7.bin"/><Relationship Id="rId6" Type="http://schemas.openxmlformats.org/officeDocument/2006/relationships/queryTable" Target="../queryTables/queryTable116.xml"/><Relationship Id="rId11" Type="http://schemas.openxmlformats.org/officeDocument/2006/relationships/queryTable" Target="../queryTables/queryTable121.xml"/><Relationship Id="rId24" Type="http://schemas.openxmlformats.org/officeDocument/2006/relationships/queryTable" Target="../queryTables/queryTable134.xml"/><Relationship Id="rId32" Type="http://schemas.openxmlformats.org/officeDocument/2006/relationships/queryTable" Target="../queryTables/queryTable142.xml"/><Relationship Id="rId37" Type="http://schemas.openxmlformats.org/officeDocument/2006/relationships/queryTable" Target="../queryTables/queryTable147.xml"/><Relationship Id="rId40" Type="http://schemas.openxmlformats.org/officeDocument/2006/relationships/queryTable" Target="../queryTables/queryTable150.xml"/><Relationship Id="rId5" Type="http://schemas.openxmlformats.org/officeDocument/2006/relationships/queryTable" Target="../queryTables/queryTable115.xml"/><Relationship Id="rId15" Type="http://schemas.openxmlformats.org/officeDocument/2006/relationships/queryTable" Target="../queryTables/queryTable125.xml"/><Relationship Id="rId23" Type="http://schemas.openxmlformats.org/officeDocument/2006/relationships/queryTable" Target="../queryTables/queryTable133.xml"/><Relationship Id="rId28" Type="http://schemas.openxmlformats.org/officeDocument/2006/relationships/queryTable" Target="../queryTables/queryTable138.xml"/><Relationship Id="rId36" Type="http://schemas.openxmlformats.org/officeDocument/2006/relationships/queryTable" Target="../queryTables/queryTable146.xml"/><Relationship Id="rId10" Type="http://schemas.openxmlformats.org/officeDocument/2006/relationships/queryTable" Target="../queryTables/queryTable120.xml"/><Relationship Id="rId19" Type="http://schemas.openxmlformats.org/officeDocument/2006/relationships/queryTable" Target="../queryTables/queryTable129.xml"/><Relationship Id="rId31" Type="http://schemas.openxmlformats.org/officeDocument/2006/relationships/queryTable" Target="../queryTables/queryTable141.xml"/><Relationship Id="rId4" Type="http://schemas.openxmlformats.org/officeDocument/2006/relationships/queryTable" Target="../queryTables/queryTable114.xml"/><Relationship Id="rId9" Type="http://schemas.openxmlformats.org/officeDocument/2006/relationships/queryTable" Target="../queryTables/queryTable119.xml"/><Relationship Id="rId14" Type="http://schemas.openxmlformats.org/officeDocument/2006/relationships/queryTable" Target="../queryTables/queryTable124.xml"/><Relationship Id="rId22" Type="http://schemas.openxmlformats.org/officeDocument/2006/relationships/queryTable" Target="../queryTables/queryTable132.xml"/><Relationship Id="rId27" Type="http://schemas.openxmlformats.org/officeDocument/2006/relationships/queryTable" Target="../queryTables/queryTable137.xml"/><Relationship Id="rId30" Type="http://schemas.openxmlformats.org/officeDocument/2006/relationships/queryTable" Target="../queryTables/queryTable140.xml"/><Relationship Id="rId35" Type="http://schemas.openxmlformats.org/officeDocument/2006/relationships/queryTable" Target="../queryTables/queryTable145.xml"/><Relationship Id="rId8" Type="http://schemas.openxmlformats.org/officeDocument/2006/relationships/queryTable" Target="../queryTables/queryTable118.xml"/><Relationship Id="rId3" Type="http://schemas.openxmlformats.org/officeDocument/2006/relationships/queryTable" Target="../queryTables/queryTable113.xml"/><Relationship Id="rId12" Type="http://schemas.openxmlformats.org/officeDocument/2006/relationships/queryTable" Target="../queryTables/queryTable122.xml"/><Relationship Id="rId17" Type="http://schemas.openxmlformats.org/officeDocument/2006/relationships/queryTable" Target="../queryTables/queryTable127.xml"/><Relationship Id="rId25" Type="http://schemas.openxmlformats.org/officeDocument/2006/relationships/queryTable" Target="../queryTables/queryTable135.xml"/><Relationship Id="rId33" Type="http://schemas.openxmlformats.org/officeDocument/2006/relationships/queryTable" Target="../queryTables/queryTable143.xml"/><Relationship Id="rId38" Type="http://schemas.openxmlformats.org/officeDocument/2006/relationships/queryTable" Target="../queryTables/queryTable14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97"/>
  <sheetViews>
    <sheetView workbookViewId="0">
      <pane ySplit="1" topLeftCell="A66" activePane="bottomLeft" state="frozen"/>
      <selection activeCell="D31" sqref="D31"/>
      <selection pane="bottomLeft" activeCell="D31" sqref="D31"/>
    </sheetView>
  </sheetViews>
  <sheetFormatPr defaultRowHeight="14.25" x14ac:dyDescent="0.2"/>
  <cols>
    <col min="1" max="1" width="17.625" customWidth="1"/>
    <col min="2" max="2" width="15.375" bestFit="1" customWidth="1"/>
    <col min="3" max="5" width="17.625" bestFit="1" customWidth="1"/>
    <col min="6" max="6" width="18.75" bestFit="1" customWidth="1"/>
    <col min="7" max="8" width="17.625" bestFit="1" customWidth="1"/>
  </cols>
  <sheetData>
    <row r="1" spans="1: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">
      <c r="A2" s="3" t="s">
        <v>232</v>
      </c>
      <c r="B2">
        <v>872.2529296875</v>
      </c>
      <c r="C2">
        <v>6.9647229527523304</v>
      </c>
      <c r="D2">
        <v>32.9608024674353</v>
      </c>
      <c r="E2">
        <v>40.517216318739898</v>
      </c>
      <c r="F2">
        <v>0.98820478765029995</v>
      </c>
      <c r="G2">
        <v>89.474429998101201</v>
      </c>
      <c r="H2">
        <v>86.449125908620502</v>
      </c>
    </row>
    <row r="3" spans="1:8" x14ac:dyDescent="0.2">
      <c r="A3" s="3" t="s">
        <v>233</v>
      </c>
      <c r="B3">
        <v>759.9462890625</v>
      </c>
      <c r="C3">
        <v>7.9939860058983401</v>
      </c>
      <c r="D3">
        <v>32.268594380612498</v>
      </c>
      <c r="E3">
        <v>39.825339637604998</v>
      </c>
      <c r="F3">
        <v>0.98635984796625897</v>
      </c>
      <c r="G3">
        <v>88.106916368086104</v>
      </c>
      <c r="H3">
        <v>85.307074056877596</v>
      </c>
    </row>
    <row r="4" spans="1:8" x14ac:dyDescent="0.2">
      <c r="A4" s="3" t="s">
        <v>234</v>
      </c>
      <c r="B4">
        <v>656.056640625</v>
      </c>
      <c r="C4">
        <v>9.2598712120535502</v>
      </c>
      <c r="D4">
        <v>31.620789295888802</v>
      </c>
      <c r="E4">
        <v>39.178476045367702</v>
      </c>
      <c r="F4">
        <v>0.98447689434497898</v>
      </c>
      <c r="G4">
        <v>86.825315906349303</v>
      </c>
      <c r="H4">
        <v>84.164053372963494</v>
      </c>
    </row>
    <row r="5" spans="1:8" x14ac:dyDescent="0.2">
      <c r="A5" s="3" t="s">
        <v>235</v>
      </c>
      <c r="B5">
        <v>563.416015625</v>
      </c>
      <c r="C5">
        <v>10.7824410941904</v>
      </c>
      <c r="D5">
        <v>31.0253034683554</v>
      </c>
      <c r="E5">
        <v>38.583214859167398</v>
      </c>
      <c r="F5">
        <v>0.982620280745234</v>
      </c>
      <c r="G5">
        <v>85.6421976295468</v>
      </c>
      <c r="H5">
        <v>83.058900092095698</v>
      </c>
    </row>
    <row r="6" spans="1:8" x14ac:dyDescent="0.2">
      <c r="A6" s="3" t="s">
        <v>236</v>
      </c>
      <c r="B6">
        <v>481.3515625</v>
      </c>
      <c r="C6">
        <v>12.620713161183501</v>
      </c>
      <c r="D6">
        <v>30.4753648016267</v>
      </c>
      <c r="E6">
        <v>38.033781962839797</v>
      </c>
      <c r="F6">
        <v>0.98089138052555003</v>
      </c>
      <c r="G6">
        <v>84.5456938080833</v>
      </c>
      <c r="H6">
        <v>82.048925496598301</v>
      </c>
    </row>
    <row r="7" spans="1:8" x14ac:dyDescent="0.2">
      <c r="A7" s="3" t="s">
        <v>237</v>
      </c>
      <c r="B7">
        <v>409.48046875</v>
      </c>
      <c r="C7">
        <v>14.8358724374446</v>
      </c>
      <c r="D7">
        <v>29.955940692994201</v>
      </c>
      <c r="E7">
        <v>37.515506092278201</v>
      </c>
      <c r="F7">
        <v>0.97923131240415096</v>
      </c>
      <c r="G7">
        <v>83.505995069062493</v>
      </c>
      <c r="H7">
        <v>81.0962241475181</v>
      </c>
    </row>
    <row r="8" spans="1:8" x14ac:dyDescent="0.2">
      <c r="A8" s="3" t="s">
        <v>238</v>
      </c>
      <c r="B8">
        <v>347.0322265625</v>
      </c>
      <c r="C8">
        <v>17.5055788339182</v>
      </c>
      <c r="D8">
        <v>29.454196187999599</v>
      </c>
      <c r="E8">
        <v>37.013556504758903</v>
      </c>
      <c r="F8">
        <v>0.97763277139599902</v>
      </c>
      <c r="G8">
        <v>82.492374367482697</v>
      </c>
      <c r="H8">
        <v>80.194352457566495</v>
      </c>
    </row>
    <row r="9" spans="1:8" x14ac:dyDescent="0.2">
      <c r="A9" s="3" t="s">
        <v>239</v>
      </c>
      <c r="B9">
        <v>292.6640625</v>
      </c>
      <c r="C9">
        <v>20.757587891407098</v>
      </c>
      <c r="D9">
        <v>28.975101156188298</v>
      </c>
      <c r="E9">
        <v>36.535707529076703</v>
      </c>
      <c r="F9">
        <v>0.976034705567142</v>
      </c>
      <c r="G9">
        <v>81.519352803300706</v>
      </c>
      <c r="H9">
        <v>79.307706137487003</v>
      </c>
    </row>
    <row r="10" spans="1:8" x14ac:dyDescent="0.2">
      <c r="A10" s="3" t="s">
        <v>240</v>
      </c>
      <c r="B10">
        <v>247.2294921875</v>
      </c>
      <c r="C10">
        <v>24.572311119713401</v>
      </c>
      <c r="D10">
        <v>28.499748671790101</v>
      </c>
      <c r="E10">
        <v>36.061019804288399</v>
      </c>
      <c r="F10">
        <v>0.97441813346591499</v>
      </c>
      <c r="G10">
        <v>80.542559079784496</v>
      </c>
      <c r="H10">
        <v>78.425747286429697</v>
      </c>
    </row>
    <row r="11" spans="1:8" x14ac:dyDescent="0.2">
      <c r="A11" s="3" t="s">
        <v>241</v>
      </c>
      <c r="B11">
        <v>210.337890625</v>
      </c>
      <c r="C11">
        <v>28.882100043642598</v>
      </c>
      <c r="D11">
        <v>28.041649365955799</v>
      </c>
      <c r="E11">
        <v>35.604167172849898</v>
      </c>
      <c r="F11">
        <v>0.97280445909817603</v>
      </c>
      <c r="G11">
        <v>79.590001806302695</v>
      </c>
      <c r="H11">
        <v>77.560112035469302</v>
      </c>
    </row>
    <row r="12" spans="1:8" x14ac:dyDescent="0.2">
      <c r="A12" s="3" t="s">
        <v>242</v>
      </c>
      <c r="B12">
        <v>179.9599609375</v>
      </c>
      <c r="C12">
        <v>33.757508994513799</v>
      </c>
      <c r="D12">
        <v>27.582939463449701</v>
      </c>
      <c r="E12">
        <v>35.145938676608203</v>
      </c>
      <c r="F12">
        <v>0.97108172109315805</v>
      </c>
      <c r="G12">
        <v>78.618737482811795</v>
      </c>
      <c r="H12">
        <v>76.651939883045799</v>
      </c>
    </row>
    <row r="13" spans="1:8" x14ac:dyDescent="0.2">
      <c r="A13" s="3" t="s">
        <v>243</v>
      </c>
      <c r="B13">
        <v>155.169921875</v>
      </c>
      <c r="C13">
        <v>39.150628721034202</v>
      </c>
      <c r="D13">
        <v>27.107083047689301</v>
      </c>
      <c r="E13">
        <v>34.672030878986099</v>
      </c>
      <c r="F13">
        <v>0.96919507694227602</v>
      </c>
      <c r="G13">
        <v>77.592774738871597</v>
      </c>
      <c r="H13">
        <v>75.675927519488397</v>
      </c>
    </row>
    <row r="14" spans="1:8" x14ac:dyDescent="0.2">
      <c r="A14" s="3" t="s">
        <v>244</v>
      </c>
      <c r="B14">
        <v>135.4296875</v>
      </c>
      <c r="C14">
        <v>44.857225266801301</v>
      </c>
      <c r="D14">
        <v>26.634088103912301</v>
      </c>
      <c r="E14">
        <v>34.198963021848201</v>
      </c>
      <c r="F14">
        <v>0.96731011852833504</v>
      </c>
      <c r="G14">
        <v>76.540650358125205</v>
      </c>
      <c r="H14">
        <v>74.719788968388698</v>
      </c>
    </row>
    <row r="15" spans="1:8" x14ac:dyDescent="0.2">
      <c r="A15" s="3" t="s">
        <v>245</v>
      </c>
      <c r="B15">
        <v>118.91015625</v>
      </c>
      <c r="C15">
        <v>51.088991820242398</v>
      </c>
      <c r="D15">
        <v>26.160473590821301</v>
      </c>
      <c r="E15">
        <v>33.726599202864897</v>
      </c>
      <c r="F15">
        <v>0.96522121597981603</v>
      </c>
      <c r="G15">
        <v>75.454329082592906</v>
      </c>
      <c r="H15">
        <v>73.681921370461893</v>
      </c>
    </row>
    <row r="16" spans="1:8" x14ac:dyDescent="0.2">
      <c r="A16" s="3" t="s">
        <v>246</v>
      </c>
      <c r="B16">
        <v>104.9189453125</v>
      </c>
      <c r="C16">
        <v>57.9018401481799</v>
      </c>
      <c r="D16">
        <v>25.669629040526701</v>
      </c>
      <c r="E16">
        <v>33.236721190579502</v>
      </c>
      <c r="F16">
        <v>0.96277203710094095</v>
      </c>
      <c r="G16">
        <v>74.279502197662794</v>
      </c>
      <c r="H16">
        <v>72.493464222609902</v>
      </c>
    </row>
    <row r="17" spans="1:8" x14ac:dyDescent="0.2">
      <c r="A17" s="3" t="s">
        <v>247</v>
      </c>
      <c r="B17">
        <v>93.3056640625</v>
      </c>
      <c r="C17">
        <v>65.108587576534603</v>
      </c>
      <c r="D17">
        <v>25.1834348629578</v>
      </c>
      <c r="E17">
        <v>32.7517021048738</v>
      </c>
      <c r="F17">
        <v>0.96013183057718299</v>
      </c>
      <c r="G17">
        <v>73.054932728645895</v>
      </c>
      <c r="H17">
        <v>71.245776664458802</v>
      </c>
    </row>
    <row r="18" spans="1:8" x14ac:dyDescent="0.2">
      <c r="A18" s="3" t="s">
        <v>248</v>
      </c>
      <c r="B18">
        <v>846.6513671875</v>
      </c>
      <c r="C18">
        <v>7.1753265103446404</v>
      </c>
      <c r="D18">
        <v>35.373022540809103</v>
      </c>
      <c r="E18">
        <v>40.698691820543601</v>
      </c>
      <c r="F18">
        <v>0.98692956618017702</v>
      </c>
      <c r="G18">
        <v>89.832704475304894</v>
      </c>
      <c r="H18">
        <v>85.657384600970303</v>
      </c>
    </row>
    <row r="19" spans="1:8" x14ac:dyDescent="0.2">
      <c r="A19" s="3" t="s">
        <v>249</v>
      </c>
      <c r="B19">
        <v>770.455078125</v>
      </c>
      <c r="C19">
        <v>7.88495030078104</v>
      </c>
      <c r="D19">
        <v>34.598371505079797</v>
      </c>
      <c r="E19">
        <v>39.924489545972499</v>
      </c>
      <c r="F19">
        <v>0.98487279927058702</v>
      </c>
      <c r="G19">
        <v>88.303067567821898</v>
      </c>
      <c r="H19">
        <v>84.402511883134395</v>
      </c>
    </row>
    <row r="20" spans="1:8" x14ac:dyDescent="0.2">
      <c r="A20" s="3" t="s">
        <v>250</v>
      </c>
      <c r="B20">
        <v>700.5166015625</v>
      </c>
      <c r="C20">
        <v>8.6721713467599901</v>
      </c>
      <c r="D20">
        <v>33.860414348994702</v>
      </c>
      <c r="E20">
        <v>39.186836642017397</v>
      </c>
      <c r="F20">
        <v>0.98256717785525205</v>
      </c>
      <c r="G20">
        <v>86.841904393708703</v>
      </c>
      <c r="H20">
        <v>83.027605749647094</v>
      </c>
    </row>
    <row r="21" spans="1:8" x14ac:dyDescent="0.2">
      <c r="A21" s="3" t="s">
        <v>251</v>
      </c>
      <c r="B21">
        <v>635.4443359375</v>
      </c>
      <c r="C21">
        <v>9.5602394362950402</v>
      </c>
      <c r="D21">
        <v>33.1085790069273</v>
      </c>
      <c r="E21">
        <v>38.436038904607699</v>
      </c>
      <c r="F21">
        <v>0.97986805268416199</v>
      </c>
      <c r="G21">
        <v>85.348959453191398</v>
      </c>
      <c r="H21">
        <v>81.459687981092202</v>
      </c>
    </row>
    <row r="22" spans="1:8" x14ac:dyDescent="0.2">
      <c r="A22" s="3" t="s">
        <v>252</v>
      </c>
      <c r="B22">
        <v>574.8251953125</v>
      </c>
      <c r="C22">
        <v>10.568430280265201</v>
      </c>
      <c r="D22">
        <v>32.366572710488498</v>
      </c>
      <c r="E22">
        <v>37.694522419502597</v>
      </c>
      <c r="F22">
        <v>0.97677308525254802</v>
      </c>
      <c r="G22">
        <v>83.865807870581506</v>
      </c>
      <c r="H22">
        <v>79.715535132154898</v>
      </c>
    </row>
    <row r="23" spans="1:8" x14ac:dyDescent="0.2">
      <c r="A23" s="3" t="s">
        <v>253</v>
      </c>
      <c r="B23">
        <v>518.0986328125</v>
      </c>
      <c r="C23">
        <v>11.7255665528817</v>
      </c>
      <c r="D23">
        <v>31.6377984995136</v>
      </c>
      <c r="E23">
        <v>36.966145083368502</v>
      </c>
      <c r="F23">
        <v>0.97319211992316201</v>
      </c>
      <c r="G23">
        <v>82.396220627272896</v>
      </c>
      <c r="H23">
        <v>77.766737280227105</v>
      </c>
    </row>
    <row r="24" spans="1:8" x14ac:dyDescent="0.2">
      <c r="A24" s="3" t="s">
        <v>254</v>
      </c>
      <c r="B24">
        <v>465.50390625</v>
      </c>
      <c r="C24">
        <v>13.050373838833901</v>
      </c>
      <c r="D24">
        <v>30.937140100496901</v>
      </c>
      <c r="E24">
        <v>36.265757815585999</v>
      </c>
      <c r="F24">
        <v>0.96924275383331104</v>
      </c>
      <c r="G24">
        <v>80.965287988996707</v>
      </c>
      <c r="H24">
        <v>75.700356092953101</v>
      </c>
    </row>
    <row r="25" spans="1:8" x14ac:dyDescent="0.2">
      <c r="A25" s="3" t="s">
        <v>255</v>
      </c>
      <c r="B25">
        <v>416.9423828125</v>
      </c>
      <c r="C25">
        <v>14.5703585205727</v>
      </c>
      <c r="D25">
        <v>30.225531301900801</v>
      </c>
      <c r="E25">
        <v>35.5543520509109</v>
      </c>
      <c r="F25">
        <v>0.96455881235432395</v>
      </c>
      <c r="G25">
        <v>79.485253107987603</v>
      </c>
      <c r="H25">
        <v>73.357496435324293</v>
      </c>
    </row>
    <row r="26" spans="1:8" x14ac:dyDescent="0.2">
      <c r="A26" s="3" t="s">
        <v>256</v>
      </c>
      <c r="B26">
        <v>372.1552734375</v>
      </c>
      <c r="C26">
        <v>16.323831566020399</v>
      </c>
      <c r="D26">
        <v>29.518455768048</v>
      </c>
      <c r="E26">
        <v>34.848656431287502</v>
      </c>
      <c r="F26">
        <v>0.95923881438275804</v>
      </c>
      <c r="G26">
        <v>77.978062258941705</v>
      </c>
      <c r="H26">
        <v>70.831450681835605</v>
      </c>
    </row>
    <row r="27" spans="1:8" x14ac:dyDescent="0.2">
      <c r="A27" s="3" t="s">
        <v>257</v>
      </c>
      <c r="B27">
        <v>330.65625</v>
      </c>
      <c r="C27">
        <v>18.372554578962301</v>
      </c>
      <c r="D27">
        <v>28.843204250359001</v>
      </c>
      <c r="E27">
        <v>34.174205316092397</v>
      </c>
      <c r="F27">
        <v>0.95329664481802701</v>
      </c>
      <c r="G27">
        <v>76.484677700953597</v>
      </c>
      <c r="H27">
        <v>68.170118162468</v>
      </c>
    </row>
    <row r="28" spans="1:8" x14ac:dyDescent="0.2">
      <c r="A28" s="3" t="s">
        <v>258</v>
      </c>
      <c r="B28">
        <v>292.7958984375</v>
      </c>
      <c r="C28">
        <v>20.7482414624629</v>
      </c>
      <c r="D28">
        <v>28.180927305178798</v>
      </c>
      <c r="E28">
        <v>33.513737805132401</v>
      </c>
      <c r="F28">
        <v>0.94676220908627895</v>
      </c>
      <c r="G28">
        <v>74.950586104677598</v>
      </c>
      <c r="H28">
        <v>65.426308154399095</v>
      </c>
    </row>
    <row r="29" spans="1:8" x14ac:dyDescent="0.2">
      <c r="A29" s="3" t="s">
        <v>259</v>
      </c>
      <c r="B29">
        <v>258.462890625</v>
      </c>
      <c r="C29">
        <v>23.504341320759</v>
      </c>
      <c r="D29">
        <v>27.541753992151101</v>
      </c>
      <c r="E29">
        <v>32.874325628665197</v>
      </c>
      <c r="F29">
        <v>0.93932328189535197</v>
      </c>
      <c r="G29">
        <v>73.371120353718993</v>
      </c>
      <c r="H29">
        <v>62.519288109204801</v>
      </c>
    </row>
    <row r="30" spans="1:8" x14ac:dyDescent="0.2">
      <c r="A30" s="3" t="s">
        <v>260</v>
      </c>
      <c r="B30">
        <v>226.298828125</v>
      </c>
      <c r="C30">
        <v>26.8450351702412</v>
      </c>
      <c r="D30">
        <v>26.907642063476601</v>
      </c>
      <c r="E30">
        <v>32.2412171419722</v>
      </c>
      <c r="F30">
        <v>0.93127543253366196</v>
      </c>
      <c r="G30">
        <v>71.682786672710407</v>
      </c>
      <c r="H30">
        <v>59.613697446979103</v>
      </c>
    </row>
    <row r="31" spans="1:8" x14ac:dyDescent="0.2">
      <c r="A31" s="3" t="s">
        <v>261</v>
      </c>
      <c r="B31">
        <v>197.353515625</v>
      </c>
      <c r="C31">
        <v>30.7823247068138</v>
      </c>
      <c r="D31">
        <v>26.292060240600101</v>
      </c>
      <c r="E31">
        <v>31.6271232148747</v>
      </c>
      <c r="F31">
        <v>0.92238730888292997</v>
      </c>
      <c r="G31">
        <v>69.889026384941602</v>
      </c>
      <c r="H31">
        <v>56.668810414355399</v>
      </c>
    </row>
    <row r="32" spans="1:8" x14ac:dyDescent="0.2">
      <c r="A32" s="3" t="s">
        <v>262</v>
      </c>
      <c r="B32">
        <v>171.3203125</v>
      </c>
      <c r="C32">
        <v>35.459893291987797</v>
      </c>
      <c r="D32">
        <v>25.708159418230501</v>
      </c>
      <c r="E32">
        <v>31.044942573656101</v>
      </c>
      <c r="F32">
        <v>0.91295606696181497</v>
      </c>
      <c r="G32">
        <v>68.008454559651994</v>
      </c>
      <c r="H32">
        <v>53.818630123553703</v>
      </c>
    </row>
    <row r="33" spans="1:8" x14ac:dyDescent="0.2">
      <c r="A33" s="3" t="s">
        <v>263</v>
      </c>
      <c r="B33">
        <v>148.150390625</v>
      </c>
      <c r="C33">
        <v>41.005629309322003</v>
      </c>
      <c r="D33">
        <v>25.1373050798789</v>
      </c>
      <c r="E33">
        <v>30.474423777397298</v>
      </c>
      <c r="F33">
        <v>0.90258141160581695</v>
      </c>
      <c r="G33">
        <v>65.960264310577401</v>
      </c>
      <c r="H33">
        <v>50.976615553980103</v>
      </c>
    </row>
    <row r="34" spans="1:8" x14ac:dyDescent="0.2">
      <c r="A34" s="3" t="s">
        <v>264</v>
      </c>
      <c r="B34">
        <v>515.8359375</v>
      </c>
      <c r="C34">
        <v>11.7770003180517</v>
      </c>
      <c r="D34">
        <v>33.594595797040498</v>
      </c>
      <c r="E34">
        <v>44.077021672206797</v>
      </c>
      <c r="F34">
        <v>0.99314043573183697</v>
      </c>
      <c r="G34">
        <v>96.486806641094404</v>
      </c>
      <c r="H34">
        <v>89.615315541077294</v>
      </c>
    </row>
    <row r="35" spans="1:8" x14ac:dyDescent="0.2">
      <c r="A35" s="3" t="s">
        <v>265</v>
      </c>
      <c r="B35">
        <v>418.505859375</v>
      </c>
      <c r="C35">
        <v>14.5159257962898</v>
      </c>
      <c r="D35">
        <v>33.004553627716902</v>
      </c>
      <c r="E35">
        <v>43.486970844585798</v>
      </c>
      <c r="F35">
        <v>0.99237611468623699</v>
      </c>
      <c r="G35">
        <v>95.325818348373502</v>
      </c>
      <c r="H35">
        <v>89.114213493109006</v>
      </c>
    </row>
    <row r="36" spans="1:8" x14ac:dyDescent="0.2">
      <c r="A36" s="3" t="s">
        <v>266</v>
      </c>
      <c r="B36">
        <v>341.2958984375</v>
      </c>
      <c r="C36">
        <v>17.799803712298299</v>
      </c>
      <c r="D36">
        <v>32.481264988287997</v>
      </c>
      <c r="E36">
        <v>42.964137323303902</v>
      </c>
      <c r="F36">
        <v>0.99172200046696102</v>
      </c>
      <c r="G36">
        <v>94.296833425558006</v>
      </c>
      <c r="H36">
        <v>88.688545300945606</v>
      </c>
    </row>
    <row r="37" spans="1:8" x14ac:dyDescent="0.2">
      <c r="A37" s="3" t="s">
        <v>267</v>
      </c>
      <c r="B37">
        <v>271.92578125</v>
      </c>
      <c r="C37">
        <v>22.340654762759801</v>
      </c>
      <c r="D37">
        <v>32.0016337785042</v>
      </c>
      <c r="E37">
        <v>42.484878445758397</v>
      </c>
      <c r="F37">
        <v>0.99106384334477304</v>
      </c>
      <c r="G37">
        <v>93.353324408531293</v>
      </c>
      <c r="H37">
        <v>88.263185098969203</v>
      </c>
    </row>
    <row r="38" spans="1:8" x14ac:dyDescent="0.2">
      <c r="A38" s="3" t="s">
        <v>268</v>
      </c>
      <c r="B38">
        <v>215.53515625</v>
      </c>
      <c r="C38">
        <v>28.185657067256301</v>
      </c>
      <c r="D38">
        <v>31.549227142965702</v>
      </c>
      <c r="E38">
        <v>42.032311478795201</v>
      </c>
      <c r="F38">
        <v>0.99045016555621601</v>
      </c>
      <c r="G38">
        <v>92.462036078992497</v>
      </c>
      <c r="H38">
        <v>87.8692093312102</v>
      </c>
    </row>
    <row r="39" spans="1:8" x14ac:dyDescent="0.2">
      <c r="A39" s="3" t="s">
        <v>269</v>
      </c>
      <c r="B39">
        <v>172.5205078125</v>
      </c>
      <c r="C39">
        <v>35.213204951857001</v>
      </c>
      <c r="D39">
        <v>31.140867376532999</v>
      </c>
      <c r="E39">
        <v>41.624361777263204</v>
      </c>
      <c r="F39">
        <v>0.98989971775697905</v>
      </c>
      <c r="G39">
        <v>91.658266357831806</v>
      </c>
      <c r="H39">
        <v>87.517978500849495</v>
      </c>
    </row>
    <row r="40" spans="1:8" x14ac:dyDescent="0.2">
      <c r="A40" s="3" t="s">
        <v>270</v>
      </c>
      <c r="B40">
        <v>139.048828125</v>
      </c>
      <c r="C40">
        <v>43.6896885929796</v>
      </c>
      <c r="D40">
        <v>30.762535702725199</v>
      </c>
      <c r="E40">
        <v>41.246462617109003</v>
      </c>
      <c r="F40">
        <v>0.98935803441793002</v>
      </c>
      <c r="G40">
        <v>90.913329066231199</v>
      </c>
      <c r="H40">
        <v>87.174314797244094</v>
      </c>
    </row>
    <row r="41" spans="1:8" x14ac:dyDescent="0.2">
      <c r="A41" s="3" t="s">
        <v>271</v>
      </c>
      <c r="B41">
        <v>111.4990234375</v>
      </c>
      <c r="C41">
        <v>54.484782132691102</v>
      </c>
      <c r="D41">
        <v>30.378452464022999</v>
      </c>
      <c r="E41">
        <v>40.863137936021701</v>
      </c>
      <c r="F41">
        <v>0.988821539899854</v>
      </c>
      <c r="G41">
        <v>90.157236690601707</v>
      </c>
      <c r="H41">
        <v>86.835862768895595</v>
      </c>
    </row>
    <row r="42" spans="1:8" x14ac:dyDescent="0.2">
      <c r="A42" s="3" t="s">
        <v>272</v>
      </c>
      <c r="B42">
        <v>92.6064453125</v>
      </c>
      <c r="C42">
        <v>65.600185597232894</v>
      </c>
      <c r="D42">
        <v>30.012644567384601</v>
      </c>
      <c r="E42">
        <v>40.497954599623696</v>
      </c>
      <c r="F42">
        <v>0.98830501518469904</v>
      </c>
      <c r="G42">
        <v>89.436394018022995</v>
      </c>
      <c r="H42">
        <v>86.511803817668394</v>
      </c>
    </row>
    <row r="43" spans="1:8" x14ac:dyDescent="0.2">
      <c r="A43" s="3" t="s">
        <v>273</v>
      </c>
      <c r="B43">
        <v>76.7314453125</v>
      </c>
      <c r="C43">
        <v>79.172234737123404</v>
      </c>
      <c r="D43">
        <v>29.627502407890901</v>
      </c>
      <c r="E43">
        <v>40.112601546525298</v>
      </c>
      <c r="F43">
        <v>0.98774579374943805</v>
      </c>
      <c r="G43">
        <v>88.675038340833495</v>
      </c>
      <c r="H43">
        <v>86.162931641094502</v>
      </c>
    </row>
    <row r="44" spans="1:8" x14ac:dyDescent="0.2">
      <c r="A44" s="3" t="s">
        <v>274</v>
      </c>
      <c r="B44">
        <v>65.3935546875</v>
      </c>
      <c r="C44">
        <v>92.8990636620223</v>
      </c>
      <c r="D44">
        <v>29.264782163085599</v>
      </c>
      <c r="E44">
        <v>39.749602162238801</v>
      </c>
      <c r="F44">
        <v>0.98713686804906997</v>
      </c>
      <c r="G44">
        <v>87.957036284936606</v>
      </c>
      <c r="H44">
        <v>85.785371463036896</v>
      </c>
    </row>
    <row r="45" spans="1:8" x14ac:dyDescent="0.2">
      <c r="A45" s="3" t="s">
        <v>275</v>
      </c>
      <c r="B45">
        <v>56.2666015625</v>
      </c>
      <c r="C45">
        <v>107.96813440477599</v>
      </c>
      <c r="D45">
        <v>28.903473973388301</v>
      </c>
      <c r="E45">
        <v>39.390599753328999</v>
      </c>
      <c r="F45">
        <v>0.98646915428969695</v>
      </c>
      <c r="G45">
        <v>87.245985785647093</v>
      </c>
      <c r="H45">
        <v>85.374122583435593</v>
      </c>
    </row>
    <row r="46" spans="1:8" x14ac:dyDescent="0.2">
      <c r="A46" s="3" t="s">
        <v>276</v>
      </c>
      <c r="B46">
        <v>48.490234375</v>
      </c>
      <c r="C46">
        <v>125.282958069843</v>
      </c>
      <c r="D46">
        <v>28.544771005489601</v>
      </c>
      <c r="E46">
        <v>39.031051813770198</v>
      </c>
      <c r="F46">
        <v>0.98590426451734703</v>
      </c>
      <c r="G46">
        <v>86.532687763452003</v>
      </c>
      <c r="H46">
        <v>85.028445335646893</v>
      </c>
    </row>
    <row r="47" spans="1:8" x14ac:dyDescent="0.2">
      <c r="A47" s="3" t="s">
        <v>277</v>
      </c>
      <c r="B47">
        <v>42.041015625</v>
      </c>
      <c r="C47">
        <v>144.50174216027901</v>
      </c>
      <c r="D47">
        <v>28.160299142114901</v>
      </c>
      <c r="E47">
        <v>38.647527203362102</v>
      </c>
      <c r="F47">
        <v>0.98509578108478402</v>
      </c>
      <c r="G47">
        <v>85.770237377824401</v>
      </c>
      <c r="H47">
        <v>84.537253007214304</v>
      </c>
    </row>
    <row r="48" spans="1:8" x14ac:dyDescent="0.2">
      <c r="A48" s="3" t="s">
        <v>278</v>
      </c>
      <c r="B48">
        <v>36.5390625</v>
      </c>
      <c r="C48">
        <v>166.26042334830001</v>
      </c>
      <c r="D48">
        <v>27.802874789131401</v>
      </c>
      <c r="E48">
        <v>38.289688489717904</v>
      </c>
      <c r="F48">
        <v>0.98439616450324996</v>
      </c>
      <c r="G48">
        <v>85.057034017796795</v>
      </c>
      <c r="H48">
        <v>84.115550147414993</v>
      </c>
    </row>
    <row r="49" spans="1:8" x14ac:dyDescent="0.2">
      <c r="A49" s="3" t="s">
        <v>279</v>
      </c>
      <c r="B49">
        <v>31.810546875</v>
      </c>
      <c r="C49">
        <v>190.97439675815099</v>
      </c>
      <c r="D49">
        <v>27.432631474004399</v>
      </c>
      <c r="E49">
        <v>37.919423210716801</v>
      </c>
      <c r="F49">
        <v>0.98364822294434895</v>
      </c>
      <c r="G49">
        <v>84.316787385350594</v>
      </c>
      <c r="H49">
        <v>83.668126549939899</v>
      </c>
    </row>
    <row r="50" spans="1:8" x14ac:dyDescent="0.2">
      <c r="A50" s="3" t="s">
        <v>280</v>
      </c>
      <c r="B50">
        <v>632.177734375</v>
      </c>
      <c r="C50">
        <v>9.6096392986792303</v>
      </c>
      <c r="D50">
        <v>36.273508671841903</v>
      </c>
      <c r="E50">
        <v>43.200480769836403</v>
      </c>
      <c r="F50">
        <v>0.99584124716053102</v>
      </c>
      <c r="G50">
        <v>94.762013942883499</v>
      </c>
      <c r="H50">
        <v>91.418562528452597</v>
      </c>
    </row>
    <row r="51" spans="1:8" x14ac:dyDescent="0.2">
      <c r="A51" s="3" t="s">
        <v>281</v>
      </c>
      <c r="B51">
        <v>573.9375</v>
      </c>
      <c r="C51">
        <v>10.584776216922601</v>
      </c>
      <c r="D51">
        <v>35.475428850376801</v>
      </c>
      <c r="E51">
        <v>42.402600949990699</v>
      </c>
      <c r="F51">
        <v>0.99508956856806197</v>
      </c>
      <c r="G51">
        <v>93.191312759544203</v>
      </c>
      <c r="H51">
        <v>90.911546056814601</v>
      </c>
    </row>
    <row r="52" spans="1:8" x14ac:dyDescent="0.2">
      <c r="A52" s="3" t="s">
        <v>282</v>
      </c>
      <c r="B52">
        <v>519.4306640625</v>
      </c>
      <c r="C52">
        <v>11.695497436533801</v>
      </c>
      <c r="D52">
        <v>34.689223331434199</v>
      </c>
      <c r="E52">
        <v>41.616990261495303</v>
      </c>
      <c r="F52">
        <v>0.99421977951438201</v>
      </c>
      <c r="G52">
        <v>91.643738910061302</v>
      </c>
      <c r="H52">
        <v>90.329833277433394</v>
      </c>
    </row>
    <row r="53" spans="1:8" x14ac:dyDescent="0.2">
      <c r="A53" s="3" t="s">
        <v>283</v>
      </c>
      <c r="B53">
        <v>468.2919921875</v>
      </c>
      <c r="C53">
        <v>12.9726753849073</v>
      </c>
      <c r="D53">
        <v>33.917088845494398</v>
      </c>
      <c r="E53">
        <v>40.845166677610798</v>
      </c>
      <c r="F53">
        <v>0.99321792745541804</v>
      </c>
      <c r="G53">
        <v>90.121775968328095</v>
      </c>
      <c r="H53">
        <v>89.666345236762297</v>
      </c>
    </row>
    <row r="54" spans="1:8" x14ac:dyDescent="0.2">
      <c r="A54" s="3" t="s">
        <v>284</v>
      </c>
      <c r="B54">
        <v>419.583984375</v>
      </c>
      <c r="C54">
        <v>14.478626988227701</v>
      </c>
      <c r="D54">
        <v>33.167046836624301</v>
      </c>
      <c r="E54">
        <v>40.095682652495398</v>
      </c>
      <c r="F54">
        <v>0.99207608424014804</v>
      </c>
      <c r="G54">
        <v>88.641592090054402</v>
      </c>
      <c r="H54">
        <v>88.918604347341002</v>
      </c>
    </row>
    <row r="55" spans="1:8" x14ac:dyDescent="0.2">
      <c r="A55" s="3" t="s">
        <v>285</v>
      </c>
      <c r="B55">
        <v>375.8037109375</v>
      </c>
      <c r="C55">
        <v>16.165353941942101</v>
      </c>
      <c r="D55">
        <v>32.424597100592003</v>
      </c>
      <c r="E55">
        <v>39.353568969838499</v>
      </c>
      <c r="F55">
        <v>0.99078659305578598</v>
      </c>
      <c r="G55">
        <v>87.172579357718604</v>
      </c>
      <c r="H55">
        <v>88.084878633755096</v>
      </c>
    </row>
    <row r="56" spans="1:8" x14ac:dyDescent="0.2">
      <c r="A56" s="3" t="s">
        <v>286</v>
      </c>
      <c r="B56">
        <v>334.357421875</v>
      </c>
      <c r="C56">
        <v>18.169179454527399</v>
      </c>
      <c r="D56">
        <v>31.690445856149601</v>
      </c>
      <c r="E56">
        <v>38.620077057130501</v>
      </c>
      <c r="F56">
        <v>0.98931385930182403</v>
      </c>
      <c r="G56">
        <v>85.7155938119312</v>
      </c>
      <c r="H56">
        <v>87.146374529875899</v>
      </c>
    </row>
    <row r="57" spans="1:8" x14ac:dyDescent="0.2">
      <c r="A57" s="3" t="s">
        <v>287</v>
      </c>
      <c r="B57">
        <v>296.4248046875</v>
      </c>
      <c r="C57">
        <v>20.494236325480401</v>
      </c>
      <c r="D57">
        <v>30.992102667291299</v>
      </c>
      <c r="E57">
        <v>37.9221484350035</v>
      </c>
      <c r="F57">
        <v>0.98770707092009402</v>
      </c>
      <c r="G57">
        <v>84.322245414597006</v>
      </c>
      <c r="H57">
        <v>86.138849950301605</v>
      </c>
    </row>
    <row r="58" spans="1:8" x14ac:dyDescent="0.2">
      <c r="A58" s="3" t="s">
        <v>288</v>
      </c>
      <c r="B58">
        <v>261.5849609375</v>
      </c>
      <c r="C58">
        <v>23.2238121726405</v>
      </c>
      <c r="D58">
        <v>30.291649131469999</v>
      </c>
      <c r="E58">
        <v>37.222932403303098</v>
      </c>
      <c r="F58">
        <v>0.98589243251131997</v>
      </c>
      <c r="G58">
        <v>82.916105650553504</v>
      </c>
      <c r="H58">
        <v>85.021226759811995</v>
      </c>
    </row>
    <row r="59" spans="1:8" x14ac:dyDescent="0.2">
      <c r="A59" s="3" t="s">
        <v>289</v>
      </c>
      <c r="B59">
        <v>229.900390625</v>
      </c>
      <c r="C59">
        <v>26.424487507327399</v>
      </c>
      <c r="D59">
        <v>29.6079531694328</v>
      </c>
      <c r="E59">
        <v>36.5396708475213</v>
      </c>
      <c r="F59">
        <v>0.98388534138195005</v>
      </c>
      <c r="G59">
        <v>81.527461776872201</v>
      </c>
      <c r="H59">
        <v>83.809592768235206</v>
      </c>
    </row>
    <row r="60" spans="1:8" x14ac:dyDescent="0.2">
      <c r="A60" s="3" t="s">
        <v>290</v>
      </c>
      <c r="B60">
        <v>201.7861328125</v>
      </c>
      <c r="C60">
        <v>30.1061322466837</v>
      </c>
      <c r="D60">
        <v>28.9440926600826</v>
      </c>
      <c r="E60">
        <v>35.876201009154002</v>
      </c>
      <c r="F60">
        <v>0.98169049245885898</v>
      </c>
      <c r="G60">
        <v>80.158859453888695</v>
      </c>
      <c r="H60">
        <v>82.5134706996175</v>
      </c>
    </row>
    <row r="61" spans="1:8" x14ac:dyDescent="0.2">
      <c r="A61" s="3" t="s">
        <v>291</v>
      </c>
      <c r="B61">
        <v>176.8173828125</v>
      </c>
      <c r="C61">
        <v>34.357481732675701</v>
      </c>
      <c r="D61">
        <v>28.292757295823701</v>
      </c>
      <c r="E61">
        <v>35.226388857354998</v>
      </c>
      <c r="F61">
        <v>0.97928956779156795</v>
      </c>
      <c r="G61">
        <v>78.790591486606203</v>
      </c>
      <c r="H61">
        <v>81.129376833966504</v>
      </c>
    </row>
    <row r="62" spans="1:8" x14ac:dyDescent="0.2">
      <c r="A62" s="3" t="s">
        <v>292</v>
      </c>
      <c r="B62">
        <v>153.77734375</v>
      </c>
      <c r="C62">
        <v>39.505169304239601</v>
      </c>
      <c r="D62">
        <v>27.650775107002499</v>
      </c>
      <c r="E62">
        <v>34.584770792784902</v>
      </c>
      <c r="F62">
        <v>0.97658653764501302</v>
      </c>
      <c r="G62">
        <v>77.401017824974303</v>
      </c>
      <c r="H62">
        <v>79.612201714964797</v>
      </c>
    </row>
    <row r="63" spans="1:8" x14ac:dyDescent="0.2">
      <c r="A63" s="3" t="s">
        <v>293</v>
      </c>
      <c r="B63">
        <v>133.6318359375</v>
      </c>
      <c r="C63">
        <v>45.460723916427298</v>
      </c>
      <c r="D63">
        <v>27.029279446990799</v>
      </c>
      <c r="E63">
        <v>33.964105115425497</v>
      </c>
      <c r="F63">
        <v>0.97368145751230495</v>
      </c>
      <c r="G63">
        <v>76.005563286523497</v>
      </c>
      <c r="H63">
        <v>78.028754957916803</v>
      </c>
    </row>
    <row r="64" spans="1:8" x14ac:dyDescent="0.2">
      <c r="A64" s="3" t="s">
        <v>294</v>
      </c>
      <c r="B64">
        <v>116.25</v>
      </c>
      <c r="C64">
        <v>52.258064516128997</v>
      </c>
      <c r="D64">
        <v>26.431573560985399</v>
      </c>
      <c r="E64">
        <v>33.368959023592197</v>
      </c>
      <c r="F64">
        <v>0.97054058392413201</v>
      </c>
      <c r="G64">
        <v>74.602173558261896</v>
      </c>
      <c r="H64">
        <v>76.370025999856793</v>
      </c>
    </row>
    <row r="65" spans="1:8" x14ac:dyDescent="0.2">
      <c r="A65" s="3" t="s">
        <v>295</v>
      </c>
      <c r="B65">
        <v>100.291015625</v>
      </c>
      <c r="C65">
        <v>60.573721007225103</v>
      </c>
      <c r="D65">
        <v>25.825523994084001</v>
      </c>
      <c r="E65">
        <v>32.762710809916598</v>
      </c>
      <c r="F65">
        <v>0.967063551339434</v>
      </c>
      <c r="G65">
        <v>73.083514873293097</v>
      </c>
      <c r="H65">
        <v>74.596103030776007</v>
      </c>
    </row>
    <row r="66" spans="1:8" x14ac:dyDescent="0.2">
      <c r="A66" s="3" t="s">
        <v>296</v>
      </c>
      <c r="B66">
        <v>437.6474609375</v>
      </c>
      <c r="C66">
        <v>13.881035633079</v>
      </c>
      <c r="D66">
        <v>38.292467556081199</v>
      </c>
      <c r="E66">
        <v>44.208678766678197</v>
      </c>
      <c r="F66">
        <v>0.98990442241141996</v>
      </c>
      <c r="G66">
        <v>96.7458234984733</v>
      </c>
      <c r="H66">
        <v>87.520971869360196</v>
      </c>
    </row>
    <row r="67" spans="1:8" x14ac:dyDescent="0.2">
      <c r="A67" s="3" t="s">
        <v>297</v>
      </c>
      <c r="B67">
        <v>350.154296875</v>
      </c>
      <c r="C67">
        <v>17.3494943635339</v>
      </c>
      <c r="D67">
        <v>37.873026832476803</v>
      </c>
      <c r="E67">
        <v>43.789401987628501</v>
      </c>
      <c r="F67">
        <v>0.98911779889773899</v>
      </c>
      <c r="G67">
        <v>95.920916320361499</v>
      </c>
      <c r="H67">
        <v>87.022524670836006</v>
      </c>
    </row>
    <row r="68" spans="1:8" x14ac:dyDescent="0.2">
      <c r="A68" s="3" t="s">
        <v>298</v>
      </c>
      <c r="B68">
        <v>276.4443359375</v>
      </c>
      <c r="C68">
        <v>21.9754909406915</v>
      </c>
      <c r="D68">
        <v>37.519606886699002</v>
      </c>
      <c r="E68">
        <v>43.435850519246202</v>
      </c>
      <c r="F68">
        <v>0.98844682378146997</v>
      </c>
      <c r="G68">
        <v>95.225220612544206</v>
      </c>
      <c r="H68">
        <v>86.600597359140906</v>
      </c>
    </row>
    <row r="69" spans="1:8" x14ac:dyDescent="0.2">
      <c r="A69" s="3" t="s">
        <v>299</v>
      </c>
      <c r="B69">
        <v>215.2421875</v>
      </c>
      <c r="C69">
        <v>28.224020906682199</v>
      </c>
      <c r="D69">
        <v>37.217881031914402</v>
      </c>
      <c r="E69">
        <v>43.134640251944198</v>
      </c>
      <c r="F69">
        <v>0.98789578165303205</v>
      </c>
      <c r="G69">
        <v>94.632430168109806</v>
      </c>
      <c r="H69">
        <v>86.256301351566904</v>
      </c>
    </row>
    <row r="70" spans="1:8" x14ac:dyDescent="0.2">
      <c r="A70" s="3" t="s">
        <v>300</v>
      </c>
      <c r="B70">
        <v>166.6982421875</v>
      </c>
      <c r="C70">
        <v>36.443095741627097</v>
      </c>
      <c r="D70">
        <v>36.957868247101601</v>
      </c>
      <c r="E70">
        <v>42.874451681945203</v>
      </c>
      <c r="F70">
        <v>0.98741062997122597</v>
      </c>
      <c r="G70">
        <v>94.120293802182701</v>
      </c>
      <c r="H70">
        <v>85.954817313845496</v>
      </c>
    </row>
    <row r="71" spans="1:8" x14ac:dyDescent="0.2">
      <c r="A71" s="3" t="s">
        <v>301</v>
      </c>
      <c r="B71">
        <v>125.8505859375</v>
      </c>
      <c r="C71">
        <v>48.271527341294799</v>
      </c>
      <c r="D71">
        <v>36.722227225007799</v>
      </c>
      <c r="E71">
        <v>42.638513095977302</v>
      </c>
      <c r="F71">
        <v>0.98696682725494</v>
      </c>
      <c r="G71">
        <v>93.655816855830494</v>
      </c>
      <c r="H71">
        <v>85.680368843532094</v>
      </c>
    </row>
    <row r="72" spans="1:8" x14ac:dyDescent="0.2">
      <c r="A72" s="3" t="s">
        <v>302</v>
      </c>
      <c r="B72">
        <v>95.78125</v>
      </c>
      <c r="C72">
        <v>63.425774877650902</v>
      </c>
      <c r="D72">
        <v>36.513528144210603</v>
      </c>
      <c r="E72">
        <v>42.429953897915297</v>
      </c>
      <c r="F72">
        <v>0.98659510880456902</v>
      </c>
      <c r="G72">
        <v>93.2451743231492</v>
      </c>
      <c r="H72">
        <v>85.451478487674905</v>
      </c>
    </row>
    <row r="73" spans="1:8" x14ac:dyDescent="0.2">
      <c r="A73" s="3" t="s">
        <v>303</v>
      </c>
      <c r="B73">
        <v>72.3671875</v>
      </c>
      <c r="C73">
        <v>83.946885458274906</v>
      </c>
      <c r="D73">
        <v>36.310093264239399</v>
      </c>
      <c r="E73">
        <v>42.226424309288198</v>
      </c>
      <c r="F73">
        <v>0.98621303797627402</v>
      </c>
      <c r="G73">
        <v>92.844367728762606</v>
      </c>
      <c r="H73">
        <v>85.217141626907306</v>
      </c>
    </row>
    <row r="74" spans="1:8" x14ac:dyDescent="0.2">
      <c r="A74" s="3" t="s">
        <v>304</v>
      </c>
      <c r="B74">
        <v>55.80078125</v>
      </c>
      <c r="C74">
        <v>108.869443472174</v>
      </c>
      <c r="D74">
        <v>36.111736808776797</v>
      </c>
      <c r="E74">
        <v>42.028205081580403</v>
      </c>
      <c r="F74">
        <v>0.98585377360190896</v>
      </c>
      <c r="G74">
        <v>92.453947182672593</v>
      </c>
      <c r="H74">
        <v>84.997647630281094</v>
      </c>
    </row>
    <row r="75" spans="1:8" x14ac:dyDescent="0.2">
      <c r="A75" s="3" t="s">
        <v>305</v>
      </c>
      <c r="B75">
        <v>44.794921875</v>
      </c>
      <c r="C75">
        <v>135.618051013734</v>
      </c>
      <c r="D75">
        <v>35.9273967709332</v>
      </c>
      <c r="E75">
        <v>41.844102974930202</v>
      </c>
      <c r="F75">
        <v>0.98549078170507698</v>
      </c>
      <c r="G75">
        <v>92.091261632589095</v>
      </c>
      <c r="H75">
        <v>84.776714536226294</v>
      </c>
    </row>
    <row r="76" spans="1:8" x14ac:dyDescent="0.2">
      <c r="A76" s="3" t="s">
        <v>306</v>
      </c>
      <c r="B76">
        <v>38.2734375</v>
      </c>
      <c r="C76">
        <v>158.72627066748299</v>
      </c>
      <c r="D76">
        <v>35.721236702484902</v>
      </c>
      <c r="E76">
        <v>41.637185325246598</v>
      </c>
      <c r="F76">
        <v>0.98509315369969397</v>
      </c>
      <c r="G76">
        <v>91.683538095233203</v>
      </c>
      <c r="H76">
        <v>84.535663523614403</v>
      </c>
    </row>
    <row r="77" spans="1:8" x14ac:dyDescent="0.2">
      <c r="A77" s="3" t="s">
        <v>307</v>
      </c>
      <c r="B77">
        <v>33.6005859375</v>
      </c>
      <c r="C77">
        <v>180.80041851948701</v>
      </c>
      <c r="D77">
        <v>35.509009843164598</v>
      </c>
      <c r="E77">
        <v>41.427156922904103</v>
      </c>
      <c r="F77">
        <v>0.984673586112643</v>
      </c>
      <c r="G77">
        <v>91.269574751687301</v>
      </c>
      <c r="H77">
        <v>84.282399577684103</v>
      </c>
    </row>
    <row r="78" spans="1:8" x14ac:dyDescent="0.2">
      <c r="A78" s="3" t="s">
        <v>308</v>
      </c>
      <c r="B78">
        <v>30.3271484375</v>
      </c>
      <c r="C78">
        <v>200.315569151505</v>
      </c>
      <c r="D78">
        <v>35.276377391477197</v>
      </c>
      <c r="E78">
        <v>41.192375288741502</v>
      </c>
      <c r="F78">
        <v>0.98416322576994497</v>
      </c>
      <c r="G78">
        <v>90.806674389656905</v>
      </c>
      <c r="H78">
        <v>83.975828318737101</v>
      </c>
    </row>
    <row r="79" spans="1:8" x14ac:dyDescent="0.2">
      <c r="A79" s="3" t="s">
        <v>309</v>
      </c>
      <c r="B79">
        <v>27.4921875</v>
      </c>
      <c r="C79">
        <v>220.97186700767301</v>
      </c>
      <c r="D79">
        <v>35.028735383650798</v>
      </c>
      <c r="E79">
        <v>40.9452572125155</v>
      </c>
      <c r="F79">
        <v>0.98362448503532995</v>
      </c>
      <c r="G79">
        <v>90.319257853397204</v>
      </c>
      <c r="H79">
        <v>83.653983730212502</v>
      </c>
    </row>
    <row r="80" spans="1:8" x14ac:dyDescent="0.2">
      <c r="A80" s="3" t="s">
        <v>310</v>
      </c>
      <c r="B80">
        <v>25.220703125</v>
      </c>
      <c r="C80">
        <v>240.87353829474199</v>
      </c>
      <c r="D80">
        <v>34.746579712064097</v>
      </c>
      <c r="E80">
        <v>40.664268198273199</v>
      </c>
      <c r="F80">
        <v>0.98301414747110605</v>
      </c>
      <c r="G80">
        <v>89.764755606275003</v>
      </c>
      <c r="H80">
        <v>83.291556199572099</v>
      </c>
    </row>
    <row r="81" spans="1:8" x14ac:dyDescent="0.2">
      <c r="A81" s="3" t="s">
        <v>311</v>
      </c>
      <c r="B81">
        <v>23.201171875</v>
      </c>
      <c r="C81">
        <v>261.84022224092899</v>
      </c>
      <c r="D81">
        <v>34.469112015416201</v>
      </c>
      <c r="E81">
        <v>40.385201834525802</v>
      </c>
      <c r="F81">
        <v>0.98240286095185503</v>
      </c>
      <c r="G81">
        <v>89.213705556731696</v>
      </c>
      <c r="H81">
        <v>82.930881539126403</v>
      </c>
    </row>
    <row r="82" spans="1:8" x14ac:dyDescent="0.2">
      <c r="A82" s="3" t="s">
        <v>312</v>
      </c>
      <c r="B82">
        <v>399.900390625</v>
      </c>
      <c r="C82">
        <v>15.191282985509099</v>
      </c>
      <c r="D82">
        <v>38.452335828554702</v>
      </c>
      <c r="E82">
        <v>43.804886379909597</v>
      </c>
      <c r="F82">
        <v>0.99145109787512398</v>
      </c>
      <c r="G82">
        <v>95.951383255135497</v>
      </c>
      <c r="H82">
        <v>88.513107914220697</v>
      </c>
    </row>
    <row r="83" spans="1:8" x14ac:dyDescent="0.2">
      <c r="A83" s="3" t="s">
        <v>313</v>
      </c>
      <c r="B83">
        <v>346.6806640625</v>
      </c>
      <c r="C83">
        <v>17.523330920194599</v>
      </c>
      <c r="D83">
        <v>37.861258530563603</v>
      </c>
      <c r="E83">
        <v>43.213804745597599</v>
      </c>
      <c r="F83">
        <v>0.99062197570511901</v>
      </c>
      <c r="G83">
        <v>94.788236927435904</v>
      </c>
      <c r="H83">
        <v>87.979254354396303</v>
      </c>
    </row>
    <row r="84" spans="1:8" x14ac:dyDescent="0.2">
      <c r="A84" s="3" t="s">
        <v>314</v>
      </c>
      <c r="B84">
        <v>302.3759765625</v>
      </c>
      <c r="C84">
        <v>20.090881785856201</v>
      </c>
      <c r="D84">
        <v>37.253246494169701</v>
      </c>
      <c r="E84">
        <v>42.606017380017398</v>
      </c>
      <c r="F84">
        <v>0.98968540376125802</v>
      </c>
      <c r="G84">
        <v>93.591838687806003</v>
      </c>
      <c r="H84">
        <v>87.381776314807396</v>
      </c>
    </row>
    <row r="85" spans="1:8" x14ac:dyDescent="0.2">
      <c r="A85" s="3" t="s">
        <v>315</v>
      </c>
      <c r="B85">
        <v>264.3125</v>
      </c>
      <c r="C85">
        <v>22.984157011113702</v>
      </c>
      <c r="D85">
        <v>36.670919594682097</v>
      </c>
      <c r="E85">
        <v>42.024355980403698</v>
      </c>
      <c r="F85">
        <v>0.98870288571348097</v>
      </c>
      <c r="G85">
        <v>92.446365084511598</v>
      </c>
      <c r="H85">
        <v>86.761265686990299</v>
      </c>
    </row>
    <row r="86" spans="1:8" x14ac:dyDescent="0.2">
      <c r="A86" s="3" t="s">
        <v>316</v>
      </c>
      <c r="B86">
        <v>233.0029296875</v>
      </c>
      <c r="C86">
        <v>26.0726335421949</v>
      </c>
      <c r="D86">
        <v>36.081331350436201</v>
      </c>
      <c r="E86">
        <v>41.4348554196226</v>
      </c>
      <c r="F86">
        <v>0.98759394662699296</v>
      </c>
      <c r="G86">
        <v>91.284750508378906</v>
      </c>
      <c r="H86">
        <v>86.068554061757595</v>
      </c>
    </row>
    <row r="87" spans="1:8" x14ac:dyDescent="0.2">
      <c r="A87" s="3" t="s">
        <v>317</v>
      </c>
      <c r="B87">
        <v>206.2177734375</v>
      </c>
      <c r="C87">
        <v>29.4591484464902</v>
      </c>
      <c r="D87">
        <v>35.465896491995302</v>
      </c>
      <c r="E87">
        <v>40.819245631306799</v>
      </c>
      <c r="F87">
        <v>0.98634574607652203</v>
      </c>
      <c r="G87">
        <v>90.070626551997194</v>
      </c>
      <c r="H87">
        <v>85.298429550396307</v>
      </c>
    </row>
    <row r="88" spans="1:8" x14ac:dyDescent="0.2">
      <c r="A88" s="3" t="s">
        <v>318</v>
      </c>
      <c r="B88">
        <v>183.1748046875</v>
      </c>
      <c r="C88">
        <v>33.1650415042837</v>
      </c>
      <c r="D88">
        <v>34.853551141848797</v>
      </c>
      <c r="E88">
        <v>40.207283991977597</v>
      </c>
      <c r="F88">
        <v>0.98489018773894998</v>
      </c>
      <c r="G88">
        <v>88.862180973921696</v>
      </c>
      <c r="H88">
        <v>84.413007884260907</v>
      </c>
    </row>
    <row r="89" spans="1:8" x14ac:dyDescent="0.2">
      <c r="A89" s="3" t="s">
        <v>319</v>
      </c>
      <c r="B89">
        <v>163.6669921875</v>
      </c>
      <c r="C89">
        <v>37.118052447865402</v>
      </c>
      <c r="D89">
        <v>34.231686111221798</v>
      </c>
      <c r="E89">
        <v>39.585511106224402</v>
      </c>
      <c r="F89">
        <v>0.98329789601943096</v>
      </c>
      <c r="G89">
        <v>87.632162580608593</v>
      </c>
      <c r="H89">
        <v>83.459761944235694</v>
      </c>
    </row>
    <row r="90" spans="1:8" x14ac:dyDescent="0.2">
      <c r="A90" s="3" t="s">
        <v>320</v>
      </c>
      <c r="B90">
        <v>146.8623046875</v>
      </c>
      <c r="C90">
        <v>41.365277583833702</v>
      </c>
      <c r="D90">
        <v>33.606306582276503</v>
      </c>
      <c r="E90">
        <v>38.960110698982703</v>
      </c>
      <c r="F90">
        <v>0.98147912504432899</v>
      </c>
      <c r="G90">
        <v>86.391789670612198</v>
      </c>
      <c r="H90">
        <v>82.390218590924206</v>
      </c>
    </row>
    <row r="91" spans="1:8" x14ac:dyDescent="0.2">
      <c r="A91" s="3" t="s">
        <v>321</v>
      </c>
      <c r="B91">
        <v>132.0205078125</v>
      </c>
      <c r="C91">
        <v>46.015578190533297</v>
      </c>
      <c r="D91">
        <v>32.971343114811702</v>
      </c>
      <c r="E91">
        <v>38.325876801851102</v>
      </c>
      <c r="F91">
        <v>0.97935938405635903</v>
      </c>
      <c r="G91">
        <v>85.129251244939596</v>
      </c>
      <c r="H91">
        <v>81.169135376960199</v>
      </c>
    </row>
    <row r="92" spans="1:8" x14ac:dyDescent="0.2">
      <c r="A92" s="3" t="s">
        <v>322</v>
      </c>
      <c r="B92">
        <v>118.5283203125</v>
      </c>
      <c r="C92">
        <v>51.253573694314198</v>
      </c>
      <c r="D92">
        <v>32.321899931703904</v>
      </c>
      <c r="E92">
        <v>37.677292438364198</v>
      </c>
      <c r="F92">
        <v>0.97688235731598905</v>
      </c>
      <c r="G92">
        <v>83.831210535214495</v>
      </c>
      <c r="H92">
        <v>79.776157426155095</v>
      </c>
    </row>
    <row r="93" spans="1:8" x14ac:dyDescent="0.2">
      <c r="A93" s="3" t="s">
        <v>323</v>
      </c>
      <c r="B93">
        <v>106.3427734375</v>
      </c>
      <c r="C93">
        <v>57.126589834244001</v>
      </c>
      <c r="D93">
        <v>31.675834591482499</v>
      </c>
      <c r="E93">
        <v>37.030777331518202</v>
      </c>
      <c r="F93">
        <v>0.97427237039989101</v>
      </c>
      <c r="G93">
        <v>82.527280172058397</v>
      </c>
      <c r="H93">
        <v>78.346953203807104</v>
      </c>
    </row>
    <row r="94" spans="1:8" x14ac:dyDescent="0.2">
      <c r="A94" s="3" t="s">
        <v>324</v>
      </c>
      <c r="B94">
        <v>95.1005859375</v>
      </c>
      <c r="C94">
        <v>63.879732602199603</v>
      </c>
      <c r="D94">
        <v>31.020509515948</v>
      </c>
      <c r="E94">
        <v>36.376192000429</v>
      </c>
      <c r="F94">
        <v>0.97120455973776498</v>
      </c>
      <c r="G94">
        <v>81.192379994958202</v>
      </c>
      <c r="H94">
        <v>76.716156759873002</v>
      </c>
    </row>
    <row r="95" spans="1:8" x14ac:dyDescent="0.2">
      <c r="A95" s="3" t="s">
        <v>325</v>
      </c>
      <c r="B95">
        <v>85.251953125</v>
      </c>
      <c r="C95">
        <v>71.259364475703904</v>
      </c>
      <c r="D95">
        <v>30.395572749819099</v>
      </c>
      <c r="E95">
        <v>35.750658847122303</v>
      </c>
      <c r="F95">
        <v>0.96782942001604899</v>
      </c>
      <c r="G95">
        <v>79.896975129264803</v>
      </c>
      <c r="H95">
        <v>74.981329551017794</v>
      </c>
    </row>
    <row r="96" spans="1:8" x14ac:dyDescent="0.2">
      <c r="A96" s="3" t="s">
        <v>326</v>
      </c>
      <c r="B96">
        <v>75.986328125</v>
      </c>
      <c r="C96">
        <v>79.948592725870697</v>
      </c>
      <c r="D96">
        <v>29.746497513578198</v>
      </c>
      <c r="E96">
        <v>35.103702186198198</v>
      </c>
      <c r="F96">
        <v>0.96391606757665804</v>
      </c>
      <c r="G96">
        <v>78.528265684803003</v>
      </c>
      <c r="H96">
        <v>73.044831709738702</v>
      </c>
    </row>
    <row r="97" spans="1:8" x14ac:dyDescent="0.2">
      <c r="A97" s="3" t="s">
        <v>327</v>
      </c>
      <c r="B97">
        <v>67.91796875</v>
      </c>
      <c r="C97">
        <v>89.446137919134998</v>
      </c>
      <c r="D97">
        <v>29.1094402049081</v>
      </c>
      <c r="E97">
        <v>34.466276176618898</v>
      </c>
      <c r="F97">
        <v>0.959479252970174</v>
      </c>
      <c r="G97">
        <v>77.139025426177298</v>
      </c>
      <c r="H97">
        <v>70.942627403048803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U21:X31"/>
  <sheetViews>
    <sheetView topLeftCell="A43" zoomScaleNormal="100" workbookViewId="0">
      <selection activeCell="D31" sqref="D31"/>
    </sheetView>
  </sheetViews>
  <sheetFormatPr defaultRowHeight="14.25" x14ac:dyDescent="0.2"/>
  <sheetData>
    <row r="21" spans="21:24" x14ac:dyDescent="0.2">
      <c r="U21" t="s">
        <v>332</v>
      </c>
      <c r="V21" t="s">
        <v>328</v>
      </c>
      <c r="W21" t="s">
        <v>329</v>
      </c>
      <c r="X21" t="s">
        <v>330</v>
      </c>
    </row>
    <row r="22" spans="21:24" x14ac:dyDescent="0.2">
      <c r="U22">
        <v>684</v>
      </c>
      <c r="V22">
        <v>40.700000000000003</v>
      </c>
      <c r="W22">
        <f>1920*1080*3/1024/U22</f>
        <v>8.8815789473684212</v>
      </c>
      <c r="X22" t="s">
        <v>333</v>
      </c>
    </row>
    <row r="23" spans="21:24" x14ac:dyDescent="0.2">
      <c r="U23">
        <v>683</v>
      </c>
      <c r="V23">
        <v>40.57</v>
      </c>
      <c r="W23">
        <f t="shared" ref="W23:W31" si="0">1920*1080*3/1024/U23</f>
        <v>8.8945827232796493</v>
      </c>
      <c r="X23" t="s">
        <v>334</v>
      </c>
    </row>
    <row r="24" spans="21:24" x14ac:dyDescent="0.2">
      <c r="U24">
        <v>842</v>
      </c>
      <c r="V24">
        <v>42.61</v>
      </c>
      <c r="W24">
        <f t="shared" si="0"/>
        <v>7.2149643705463182</v>
      </c>
      <c r="X24" t="s">
        <v>335</v>
      </c>
    </row>
    <row r="25" spans="21:24" x14ac:dyDescent="0.2">
      <c r="U25">
        <v>595</v>
      </c>
      <c r="V25">
        <v>38.9</v>
      </c>
      <c r="W25">
        <f t="shared" si="0"/>
        <v>10.210084033613445</v>
      </c>
      <c r="X25" t="s">
        <v>336</v>
      </c>
    </row>
    <row r="26" spans="21:24" x14ac:dyDescent="0.2">
      <c r="U26">
        <v>539</v>
      </c>
      <c r="V26">
        <v>37.67</v>
      </c>
      <c r="W26">
        <f t="shared" si="0"/>
        <v>11.270871985157699</v>
      </c>
      <c r="X26" t="s">
        <v>331</v>
      </c>
    </row>
    <row r="27" spans="21:24" x14ac:dyDescent="0.2">
      <c r="U27">
        <v>471</v>
      </c>
      <c r="V27">
        <v>36.74</v>
      </c>
      <c r="W27">
        <f t="shared" si="0"/>
        <v>12.898089171974522</v>
      </c>
      <c r="X27" t="s">
        <v>337</v>
      </c>
    </row>
    <row r="28" spans="21:24" x14ac:dyDescent="0.2">
      <c r="U28">
        <v>422</v>
      </c>
      <c r="V28">
        <v>35.869999999999997</v>
      </c>
      <c r="W28">
        <f t="shared" si="0"/>
        <v>14.395734597156398</v>
      </c>
      <c r="X28" t="s">
        <v>338</v>
      </c>
    </row>
    <row r="29" spans="21:24" x14ac:dyDescent="0.2">
      <c r="U29">
        <v>384</v>
      </c>
      <c r="V29">
        <v>35.119999999999997</v>
      </c>
      <c r="W29">
        <f t="shared" si="0"/>
        <v>15.8203125</v>
      </c>
      <c r="X29" t="s">
        <v>339</v>
      </c>
    </row>
    <row r="30" spans="21:24" x14ac:dyDescent="0.2">
      <c r="W30" t="e">
        <f t="shared" si="0"/>
        <v>#DIV/0!</v>
      </c>
      <c r="X30" t="s">
        <v>340</v>
      </c>
    </row>
    <row r="31" spans="21:24" x14ac:dyDescent="0.2">
      <c r="W31" t="e">
        <f t="shared" si="0"/>
        <v>#DIV/0!</v>
      </c>
      <c r="X31" t="s">
        <v>341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31"/>
  <sheetViews>
    <sheetView zoomScale="85" zoomScaleNormal="85" workbookViewId="0">
      <pane ySplit="1" topLeftCell="A2" activePane="bottomLeft" state="frozen"/>
      <selection pane="bottomLeft" activeCell="I1" sqref="I1:K2"/>
    </sheetView>
  </sheetViews>
  <sheetFormatPr defaultRowHeight="14.25" x14ac:dyDescent="0.2"/>
  <cols>
    <col min="1" max="1" width="10.5" customWidth="1"/>
    <col min="2" max="2" width="15.5" customWidth="1"/>
    <col min="3" max="5" width="17.625" bestFit="1" customWidth="1"/>
    <col min="6" max="6" width="18.75" bestFit="1" customWidth="1"/>
    <col min="7" max="8" width="17.625" bestFit="1" customWidth="1"/>
  </cols>
  <sheetData>
    <row r="1" spans="1:11" s="1" customForma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118</v>
      </c>
      <c r="J1" t="s">
        <v>119</v>
      </c>
      <c r="K1" t="s">
        <v>120</v>
      </c>
    </row>
    <row r="2" spans="1:11" x14ac:dyDescent="0.2">
      <c r="A2" t="s">
        <v>121</v>
      </c>
      <c r="B2">
        <v>502.51171875</v>
      </c>
      <c r="C2">
        <v>12.0892703061962</v>
      </c>
      <c r="D2">
        <v>26.308075716841898</v>
      </c>
      <c r="E2">
        <v>33.8843890109436</v>
      </c>
      <c r="F2">
        <v>0.97310839888299705</v>
      </c>
      <c r="G2">
        <v>75.821743381342998</v>
      </c>
      <c r="H2">
        <v>77.722042629236995</v>
      </c>
      <c r="I2" t="str">
        <f>LEFT(A2,FIND("/",A2)-1)</f>
        <v>bar</v>
      </c>
      <c r="J2">
        <v>411</v>
      </c>
      <c r="K2">
        <f t="shared" ref="K2:K65" si="0">(MID(A2,FIND("gimp",A2)+4,FIND(".",A2)-FIND("gimp",A2)-4))+0</f>
        <v>90</v>
      </c>
    </row>
    <row r="3" spans="1:11" x14ac:dyDescent="0.2">
      <c r="A3" t="s">
        <v>9</v>
      </c>
      <c r="B3">
        <v>540.130859375</v>
      </c>
      <c r="C3">
        <v>11.2472744235157</v>
      </c>
      <c r="D3">
        <v>26.5516485230469</v>
      </c>
      <c r="E3">
        <v>34.128210227966797</v>
      </c>
      <c r="F3">
        <v>0.97461428553982499</v>
      </c>
      <c r="G3">
        <v>76.380427397991994</v>
      </c>
      <c r="H3">
        <v>78.531969503743099</v>
      </c>
      <c r="I3" t="str">
        <f t="shared" ref="I3:I66" si="1">LEFT(A3,FIND("/",A3)-1)</f>
        <v>bar</v>
      </c>
      <c r="J3">
        <v>411</v>
      </c>
      <c r="K3">
        <f t="shared" si="0"/>
        <v>91</v>
      </c>
    </row>
    <row r="4" spans="1:11" x14ac:dyDescent="0.2">
      <c r="A4" t="s">
        <v>10</v>
      </c>
      <c r="B4">
        <v>577.6826171875</v>
      </c>
      <c r="C4">
        <v>10.516155098411501</v>
      </c>
      <c r="D4">
        <v>26.562573035190201</v>
      </c>
      <c r="E4">
        <v>34.138430274862401</v>
      </c>
      <c r="F4">
        <v>0.97511454125856101</v>
      </c>
      <c r="G4">
        <v>76.403621624982407</v>
      </c>
      <c r="H4">
        <v>78.8038614094053</v>
      </c>
      <c r="I4" t="str">
        <f t="shared" si="1"/>
        <v>bar</v>
      </c>
      <c r="J4">
        <v>411</v>
      </c>
      <c r="K4">
        <f t="shared" si="0"/>
        <v>92</v>
      </c>
    </row>
    <row r="5" spans="1:11" x14ac:dyDescent="0.2">
      <c r="A5" t="s">
        <v>11</v>
      </c>
      <c r="B5">
        <v>636.0791015625</v>
      </c>
      <c r="C5">
        <v>9.5506989383506404</v>
      </c>
      <c r="D5">
        <v>26.8274264266391</v>
      </c>
      <c r="E5">
        <v>34.396412237799801</v>
      </c>
      <c r="F5">
        <v>0.97686445158034196</v>
      </c>
      <c r="G5">
        <v>76.983651202577406</v>
      </c>
      <c r="H5">
        <v>79.7662188773309</v>
      </c>
      <c r="I5" t="str">
        <f t="shared" si="1"/>
        <v>bar</v>
      </c>
      <c r="J5">
        <v>411</v>
      </c>
      <c r="K5">
        <f t="shared" si="0"/>
        <v>93</v>
      </c>
    </row>
    <row r="6" spans="1:11" x14ac:dyDescent="0.2">
      <c r="A6" t="s">
        <v>12</v>
      </c>
      <c r="B6">
        <v>710.21875</v>
      </c>
      <c r="C6">
        <v>8.5537026444317306</v>
      </c>
      <c r="D6">
        <v>27.035447830527001</v>
      </c>
      <c r="E6">
        <v>34.604394394113399</v>
      </c>
      <c r="F6">
        <v>0.97854263061955704</v>
      </c>
      <c r="G6">
        <v>77.444226140792594</v>
      </c>
      <c r="H6">
        <v>80.705829494878103</v>
      </c>
      <c r="I6" t="str">
        <f t="shared" si="1"/>
        <v>bar</v>
      </c>
      <c r="J6">
        <v>411</v>
      </c>
      <c r="K6">
        <f t="shared" si="0"/>
        <v>94</v>
      </c>
    </row>
    <row r="7" spans="1:11" x14ac:dyDescent="0.2">
      <c r="A7" t="s">
        <v>13</v>
      </c>
      <c r="B7">
        <v>798.166015625</v>
      </c>
      <c r="C7">
        <v>7.6111985239599598</v>
      </c>
      <c r="D7">
        <v>27.037791876941402</v>
      </c>
      <c r="E7">
        <v>34.605892597870003</v>
      </c>
      <c r="F7">
        <v>0.97942924667111997</v>
      </c>
      <c r="G7">
        <v>77.447522921927501</v>
      </c>
      <c r="H7">
        <v>81.208949421840501</v>
      </c>
      <c r="I7" t="str">
        <f t="shared" si="1"/>
        <v>bar</v>
      </c>
      <c r="J7">
        <v>411</v>
      </c>
      <c r="K7">
        <f t="shared" si="0"/>
        <v>95</v>
      </c>
    </row>
    <row r="8" spans="1:11" x14ac:dyDescent="0.2">
      <c r="A8" t="s">
        <v>14</v>
      </c>
      <c r="B8">
        <v>910.0439453125</v>
      </c>
      <c r="C8">
        <v>6.6755018054802902</v>
      </c>
      <c r="D8">
        <v>27.340139251656101</v>
      </c>
      <c r="E8">
        <v>34.915414239187299</v>
      </c>
      <c r="F8">
        <v>0.98186278760006895</v>
      </c>
      <c r="G8">
        <v>78.122748727031706</v>
      </c>
      <c r="H8">
        <v>82.614141201916496</v>
      </c>
      <c r="I8" t="str">
        <f t="shared" si="1"/>
        <v>bar</v>
      </c>
      <c r="J8">
        <v>411</v>
      </c>
      <c r="K8">
        <f t="shared" si="0"/>
        <v>96</v>
      </c>
    </row>
    <row r="9" spans="1:11" x14ac:dyDescent="0.2">
      <c r="A9" t="s">
        <v>15</v>
      </c>
      <c r="B9">
        <v>1013.9189453125</v>
      </c>
      <c r="C9">
        <v>5.9916032026875898</v>
      </c>
      <c r="D9">
        <v>27.723708329638701</v>
      </c>
      <c r="E9">
        <v>35.299612448428</v>
      </c>
      <c r="F9">
        <v>0.98460262018094302</v>
      </c>
      <c r="G9">
        <v>78.946488236709598</v>
      </c>
      <c r="H9">
        <v>84.2396723986826</v>
      </c>
      <c r="I9" t="str">
        <f t="shared" si="1"/>
        <v>bar</v>
      </c>
      <c r="J9">
        <v>411</v>
      </c>
      <c r="K9">
        <f t="shared" si="0"/>
        <v>97</v>
      </c>
    </row>
    <row r="10" spans="1:11" x14ac:dyDescent="0.2">
      <c r="A10" t="s">
        <v>16</v>
      </c>
      <c r="B10">
        <v>1178.6904296875</v>
      </c>
      <c r="C10">
        <v>5.1540250493173403</v>
      </c>
      <c r="D10">
        <v>27.7378118316139</v>
      </c>
      <c r="E10">
        <v>35.313098612619903</v>
      </c>
      <c r="F10">
        <v>0.98555237443172194</v>
      </c>
      <c r="G10">
        <v>78.975148525569793</v>
      </c>
      <c r="H10">
        <v>84.814143407278394</v>
      </c>
      <c r="I10" t="str">
        <f t="shared" si="1"/>
        <v>bar</v>
      </c>
      <c r="J10">
        <v>411</v>
      </c>
      <c r="K10">
        <f t="shared" si="0"/>
        <v>98</v>
      </c>
    </row>
    <row r="11" spans="1:11" x14ac:dyDescent="0.2">
      <c r="A11" t="s">
        <v>17</v>
      </c>
      <c r="B11">
        <v>1470.2412109375</v>
      </c>
      <c r="C11">
        <v>4.1319750492684602</v>
      </c>
      <c r="D11">
        <v>27.743693676311899</v>
      </c>
      <c r="E11">
        <v>35.318821924376103</v>
      </c>
      <c r="F11">
        <v>0.984438471440096</v>
      </c>
      <c r="G11">
        <v>78.987306644136197</v>
      </c>
      <c r="H11">
        <v>84.140963421580196</v>
      </c>
      <c r="I11" t="str">
        <f t="shared" si="1"/>
        <v>bar</v>
      </c>
      <c r="J11">
        <v>411</v>
      </c>
      <c r="K11">
        <f t="shared" si="0"/>
        <v>99</v>
      </c>
    </row>
    <row r="12" spans="1:11" x14ac:dyDescent="0.2">
      <c r="A12" t="s">
        <v>18</v>
      </c>
      <c r="B12">
        <v>1607.896484375</v>
      </c>
      <c r="C12">
        <v>3.7782282995421799</v>
      </c>
      <c r="D12">
        <v>28.030759163282799</v>
      </c>
      <c r="E12">
        <v>35.606841372292699</v>
      </c>
      <c r="F12">
        <v>0.98769088876757805</v>
      </c>
      <c r="G12">
        <v>79.595619656721496</v>
      </c>
      <c r="H12">
        <v>86.128789182614099</v>
      </c>
      <c r="I12" t="str">
        <f t="shared" si="1"/>
        <v>bar</v>
      </c>
      <c r="J12">
        <v>411</v>
      </c>
      <c r="K12">
        <f t="shared" si="0"/>
        <v>100</v>
      </c>
    </row>
    <row r="13" spans="1:11" x14ac:dyDescent="0.2">
      <c r="A13" t="s">
        <v>19</v>
      </c>
      <c r="B13">
        <v>574.7734375</v>
      </c>
      <c r="C13">
        <v>10.569381957564801</v>
      </c>
      <c r="D13">
        <v>29.7404352605258</v>
      </c>
      <c r="E13">
        <v>35.075056774387498</v>
      </c>
      <c r="F13">
        <v>0.96557362272036495</v>
      </c>
      <c r="G13">
        <v>78.466806465525394</v>
      </c>
      <c r="H13">
        <v>73.855433715995304</v>
      </c>
      <c r="I13" t="str">
        <f t="shared" si="1"/>
        <v>building</v>
      </c>
      <c r="J13">
        <v>411</v>
      </c>
      <c r="K13">
        <f t="shared" si="0"/>
        <v>90</v>
      </c>
    </row>
    <row r="14" spans="1:11" x14ac:dyDescent="0.2">
      <c r="A14" t="s">
        <v>20</v>
      </c>
      <c r="B14">
        <v>602.771484375</v>
      </c>
      <c r="C14">
        <v>10.078446239538099</v>
      </c>
      <c r="D14">
        <v>30.083039862888199</v>
      </c>
      <c r="E14">
        <v>35.417916091552698</v>
      </c>
      <c r="F14">
        <v>0.96802413561571998</v>
      </c>
      <c r="G14">
        <v>79.197365528359896</v>
      </c>
      <c r="H14">
        <v>75.079761641322904</v>
      </c>
      <c r="I14" t="str">
        <f t="shared" si="1"/>
        <v>building</v>
      </c>
      <c r="J14">
        <v>411</v>
      </c>
      <c r="K14">
        <f t="shared" si="0"/>
        <v>91</v>
      </c>
    </row>
    <row r="15" spans="1:11" x14ac:dyDescent="0.2">
      <c r="A15" t="s">
        <v>21</v>
      </c>
      <c r="B15">
        <v>635.4296875</v>
      </c>
      <c r="C15">
        <v>9.5604598266428997</v>
      </c>
      <c r="D15">
        <v>30.086784212005</v>
      </c>
      <c r="E15">
        <v>35.421498131690903</v>
      </c>
      <c r="F15">
        <v>0.96783988044304603</v>
      </c>
      <c r="G15">
        <v>79.204943135975697</v>
      </c>
      <c r="H15">
        <v>74.986612397857698</v>
      </c>
      <c r="I15" t="str">
        <f t="shared" si="1"/>
        <v>building</v>
      </c>
      <c r="J15">
        <v>411</v>
      </c>
      <c r="K15">
        <f t="shared" si="0"/>
        <v>92</v>
      </c>
    </row>
    <row r="16" spans="1:11" x14ac:dyDescent="0.2">
      <c r="A16" t="s">
        <v>22</v>
      </c>
      <c r="B16">
        <v>688.88671875</v>
      </c>
      <c r="C16">
        <v>8.8185761673896401</v>
      </c>
      <c r="D16">
        <v>30.462830828170102</v>
      </c>
      <c r="E16">
        <v>35.792163633569103</v>
      </c>
      <c r="F16">
        <v>0.97021173940490502</v>
      </c>
      <c r="G16">
        <v>79.983672542585893</v>
      </c>
      <c r="H16">
        <v>76.199485765788296</v>
      </c>
      <c r="I16" t="str">
        <f t="shared" si="1"/>
        <v>building</v>
      </c>
      <c r="J16">
        <v>411</v>
      </c>
      <c r="K16">
        <f t="shared" si="0"/>
        <v>93</v>
      </c>
    </row>
    <row r="17" spans="1:11" x14ac:dyDescent="0.2">
      <c r="A17" t="s">
        <v>23</v>
      </c>
      <c r="B17">
        <v>752.4716796875</v>
      </c>
      <c r="C17">
        <v>8.0733935428944505</v>
      </c>
      <c r="D17">
        <v>30.7188653515265</v>
      </c>
      <c r="E17">
        <v>36.0483513936733</v>
      </c>
      <c r="F17">
        <v>0.97196515084947199</v>
      </c>
      <c r="G17">
        <v>80.516324492771901</v>
      </c>
      <c r="H17">
        <v>77.115613851813805</v>
      </c>
      <c r="I17" t="str">
        <f t="shared" si="1"/>
        <v>building</v>
      </c>
      <c r="J17">
        <v>411</v>
      </c>
      <c r="K17">
        <f t="shared" si="0"/>
        <v>94</v>
      </c>
    </row>
    <row r="18" spans="1:11" x14ac:dyDescent="0.2">
      <c r="A18" t="s">
        <v>24</v>
      </c>
      <c r="B18">
        <v>835.0908203125</v>
      </c>
      <c r="C18">
        <v>7.2746578602392802</v>
      </c>
      <c r="D18">
        <v>30.6036948174415</v>
      </c>
      <c r="E18">
        <v>35.9327120177458</v>
      </c>
      <c r="F18">
        <v>0.97128426793691702</v>
      </c>
      <c r="G18">
        <v>80.276405674799804</v>
      </c>
      <c r="H18">
        <v>76.757870245229199</v>
      </c>
      <c r="I18" t="str">
        <f t="shared" si="1"/>
        <v>building</v>
      </c>
      <c r="J18">
        <v>411</v>
      </c>
      <c r="K18">
        <f t="shared" si="0"/>
        <v>95</v>
      </c>
    </row>
    <row r="19" spans="1:11" x14ac:dyDescent="0.2">
      <c r="A19" t="s">
        <v>25</v>
      </c>
      <c r="B19">
        <v>936.802734375</v>
      </c>
      <c r="C19">
        <v>6.4848230871710797</v>
      </c>
      <c r="D19">
        <v>30.994863396285801</v>
      </c>
      <c r="E19">
        <v>36.329804197617598</v>
      </c>
      <c r="F19">
        <v>0.97408608053436196</v>
      </c>
      <c r="G19">
        <v>81.097065233881807</v>
      </c>
      <c r="H19">
        <v>78.2464264898545</v>
      </c>
      <c r="I19" t="str">
        <f t="shared" si="1"/>
        <v>building</v>
      </c>
      <c r="J19">
        <v>411</v>
      </c>
      <c r="K19">
        <f t="shared" si="0"/>
        <v>96</v>
      </c>
    </row>
    <row r="20" spans="1:11" x14ac:dyDescent="0.2">
      <c r="A20" t="s">
        <v>26</v>
      </c>
      <c r="B20">
        <v>1038.671875</v>
      </c>
      <c r="C20">
        <v>5.84881534411433</v>
      </c>
      <c r="D20">
        <v>31.4941203492372</v>
      </c>
      <c r="E20">
        <v>36.8295871624236</v>
      </c>
      <c r="F20">
        <v>0.97740640530809397</v>
      </c>
      <c r="G20">
        <v>82.118820026485295</v>
      </c>
      <c r="H20">
        <v>80.067855760706607</v>
      </c>
      <c r="I20" t="str">
        <f t="shared" si="1"/>
        <v>building</v>
      </c>
      <c r="J20">
        <v>411</v>
      </c>
      <c r="K20">
        <f t="shared" si="0"/>
        <v>97</v>
      </c>
    </row>
    <row r="21" spans="1:11" x14ac:dyDescent="0.2">
      <c r="A21" t="s">
        <v>27</v>
      </c>
      <c r="B21">
        <v>1216.09375</v>
      </c>
      <c r="C21">
        <v>4.9955030194012604</v>
      </c>
      <c r="D21">
        <v>31.3322849095136</v>
      </c>
      <c r="E21">
        <v>36.667303956047299</v>
      </c>
      <c r="F21">
        <v>0.97617219354102802</v>
      </c>
      <c r="G21">
        <v>81.788231907294602</v>
      </c>
      <c r="H21">
        <v>79.3834063091047</v>
      </c>
      <c r="I21" t="str">
        <f t="shared" si="1"/>
        <v>building</v>
      </c>
      <c r="J21">
        <v>411</v>
      </c>
      <c r="K21">
        <f t="shared" si="0"/>
        <v>98</v>
      </c>
    </row>
    <row r="22" spans="1:11" x14ac:dyDescent="0.2">
      <c r="A22" t="s">
        <v>28</v>
      </c>
      <c r="B22">
        <v>1527.0009765625</v>
      </c>
      <c r="C22">
        <v>3.9783864537373801</v>
      </c>
      <c r="D22">
        <v>31.3551934364252</v>
      </c>
      <c r="E22">
        <v>36.689762735441398</v>
      </c>
      <c r="F22">
        <v>0.97403871240781104</v>
      </c>
      <c r="G22">
        <v>81.834046182471894</v>
      </c>
      <c r="H22">
        <v>78.220896658973302</v>
      </c>
      <c r="I22" t="str">
        <f t="shared" si="1"/>
        <v>building</v>
      </c>
      <c r="J22">
        <v>411</v>
      </c>
      <c r="K22">
        <f t="shared" si="0"/>
        <v>99</v>
      </c>
    </row>
    <row r="23" spans="1:11" x14ac:dyDescent="0.2">
      <c r="A23" t="s">
        <v>29</v>
      </c>
      <c r="B23">
        <v>1669.8798828125</v>
      </c>
      <c r="C23">
        <v>3.6379862183668901</v>
      </c>
      <c r="D23">
        <v>31.7623089697531</v>
      </c>
      <c r="E23">
        <v>37.097694493859898</v>
      </c>
      <c r="F23">
        <v>0.97964800581450395</v>
      </c>
      <c r="G23">
        <v>82.662823044909999</v>
      </c>
      <c r="H23">
        <v>81.3338067626796</v>
      </c>
      <c r="I23" t="str">
        <f t="shared" si="1"/>
        <v>building</v>
      </c>
      <c r="J23">
        <v>411</v>
      </c>
      <c r="K23">
        <f t="shared" si="0"/>
        <v>100</v>
      </c>
    </row>
    <row r="24" spans="1:11" x14ac:dyDescent="0.2">
      <c r="A24" t="s">
        <v>30</v>
      </c>
      <c r="B24">
        <v>235.9853515625</v>
      </c>
      <c r="C24">
        <v>25.743123290392301</v>
      </c>
      <c r="D24">
        <v>28.9893882653652</v>
      </c>
      <c r="E24">
        <v>39.493772518028301</v>
      </c>
      <c r="F24">
        <v>0.98714627862153004</v>
      </c>
      <c r="G24">
        <v>87.450441698306506</v>
      </c>
      <c r="H24">
        <v>85.791188096592805</v>
      </c>
      <c r="I24" t="str">
        <f t="shared" si="1"/>
        <v>character</v>
      </c>
      <c r="J24">
        <v>411</v>
      </c>
      <c r="K24">
        <f t="shared" si="0"/>
        <v>90</v>
      </c>
    </row>
    <row r="25" spans="1:11" x14ac:dyDescent="0.2">
      <c r="A25" t="s">
        <v>31</v>
      </c>
      <c r="B25">
        <v>258.54296875</v>
      </c>
      <c r="C25">
        <v>23.4970613564597</v>
      </c>
      <c r="D25">
        <v>29.144298116429301</v>
      </c>
      <c r="E25">
        <v>39.648632600486302</v>
      </c>
      <c r="F25">
        <v>0.98751848656289098</v>
      </c>
      <c r="G25">
        <v>87.757157521736204</v>
      </c>
      <c r="H25">
        <v>86.021709232664804</v>
      </c>
      <c r="I25" t="str">
        <f t="shared" si="1"/>
        <v>character</v>
      </c>
      <c r="J25">
        <v>411</v>
      </c>
      <c r="K25">
        <f t="shared" si="0"/>
        <v>91</v>
      </c>
    </row>
    <row r="26" spans="1:11" x14ac:dyDescent="0.2">
      <c r="A26" t="s">
        <v>32</v>
      </c>
      <c r="B26">
        <v>276.93359375</v>
      </c>
      <c r="C26">
        <v>21.936666901756102</v>
      </c>
      <c r="D26">
        <v>29.169520405290498</v>
      </c>
      <c r="E26">
        <v>39.673596838299297</v>
      </c>
      <c r="F26">
        <v>0.98758031319093997</v>
      </c>
      <c r="G26">
        <v>87.806583787921696</v>
      </c>
      <c r="H26">
        <v>86.060087820762007</v>
      </c>
      <c r="I26" t="str">
        <f t="shared" si="1"/>
        <v>character</v>
      </c>
      <c r="J26">
        <v>411</v>
      </c>
      <c r="K26">
        <f t="shared" si="0"/>
        <v>92</v>
      </c>
    </row>
    <row r="27" spans="1:11" x14ac:dyDescent="0.2">
      <c r="A27" t="s">
        <v>33</v>
      </c>
      <c r="B27">
        <v>316.17578125</v>
      </c>
      <c r="C27">
        <v>19.213995379350401</v>
      </c>
      <c r="D27">
        <v>29.4058647209513</v>
      </c>
      <c r="E27">
        <v>39.901573564045997</v>
      </c>
      <c r="F27">
        <v>0.98831017434327795</v>
      </c>
      <c r="G27">
        <v>88.257738146801003</v>
      </c>
      <c r="H27">
        <v>86.5150319131656</v>
      </c>
      <c r="I27" t="str">
        <f t="shared" si="1"/>
        <v>character</v>
      </c>
      <c r="J27">
        <v>411</v>
      </c>
      <c r="K27">
        <f t="shared" si="0"/>
        <v>93</v>
      </c>
    </row>
    <row r="28" spans="1:11" x14ac:dyDescent="0.2">
      <c r="A28" t="s">
        <v>34</v>
      </c>
      <c r="B28">
        <v>360.720703125</v>
      </c>
      <c r="C28">
        <v>16.8412845377906</v>
      </c>
      <c r="D28">
        <v>29.5727569457102</v>
      </c>
      <c r="E28">
        <v>40.068261293511497</v>
      </c>
      <c r="F28">
        <v>0.98861707600899995</v>
      </c>
      <c r="G28">
        <v>88.587380282060295</v>
      </c>
      <c r="H28">
        <v>86.707375537899495</v>
      </c>
      <c r="I28" t="str">
        <f t="shared" si="1"/>
        <v>character</v>
      </c>
      <c r="J28">
        <v>411</v>
      </c>
      <c r="K28">
        <f t="shared" si="0"/>
        <v>94</v>
      </c>
    </row>
    <row r="29" spans="1:11" x14ac:dyDescent="0.2">
      <c r="A29" t="s">
        <v>35</v>
      </c>
      <c r="B29">
        <v>421.912109375</v>
      </c>
      <c r="C29">
        <v>14.3987334447433</v>
      </c>
      <c r="D29">
        <v>29.552161417935601</v>
      </c>
      <c r="E29">
        <v>40.0473209571024</v>
      </c>
      <c r="F29">
        <v>0.98852966153561195</v>
      </c>
      <c r="G29">
        <v>88.545978304575101</v>
      </c>
      <c r="H29">
        <v>86.652527421887001</v>
      </c>
      <c r="I29" t="str">
        <f t="shared" si="1"/>
        <v>character</v>
      </c>
      <c r="J29">
        <v>411</v>
      </c>
      <c r="K29">
        <f t="shared" si="0"/>
        <v>95</v>
      </c>
    </row>
    <row r="30" spans="1:11" x14ac:dyDescent="0.2">
      <c r="A30" t="s">
        <v>36</v>
      </c>
      <c r="B30">
        <v>514.494140625</v>
      </c>
      <c r="C30">
        <v>11.807714646896001</v>
      </c>
      <c r="D30">
        <v>29.8394030923122</v>
      </c>
      <c r="E30">
        <v>40.342743600695599</v>
      </c>
      <c r="F30">
        <v>0.98915435444967703</v>
      </c>
      <c r="G30">
        <v>89.129833239573003</v>
      </c>
      <c r="H30">
        <v>87.045597216375896</v>
      </c>
      <c r="I30" t="str">
        <f t="shared" si="1"/>
        <v>character</v>
      </c>
      <c r="J30">
        <v>411</v>
      </c>
      <c r="K30">
        <f t="shared" si="0"/>
        <v>96</v>
      </c>
    </row>
    <row r="31" spans="1:11" x14ac:dyDescent="0.2">
      <c r="A31" t="s">
        <v>37</v>
      </c>
      <c r="B31">
        <v>603.837890625</v>
      </c>
      <c r="C31">
        <v>10.060647227208801</v>
      </c>
      <c r="D31">
        <v>30.3077358886861</v>
      </c>
      <c r="E31">
        <v>40.811214451523703</v>
      </c>
      <c r="F31">
        <v>0.99048234592328699</v>
      </c>
      <c r="G31">
        <v>90.054778262490302</v>
      </c>
      <c r="H31">
        <v>87.889805876439596</v>
      </c>
      <c r="I31" t="str">
        <f t="shared" si="1"/>
        <v>character</v>
      </c>
      <c r="J31">
        <v>411</v>
      </c>
      <c r="K31">
        <f t="shared" si="0"/>
        <v>97</v>
      </c>
    </row>
    <row r="32" spans="1:11" x14ac:dyDescent="0.2">
      <c r="A32" t="s">
        <v>38</v>
      </c>
      <c r="B32">
        <v>765.0224609375</v>
      </c>
      <c r="C32">
        <v>7.9409433189129697</v>
      </c>
      <c r="D32">
        <v>30.3132671944348</v>
      </c>
      <c r="E32">
        <v>40.816020286913201</v>
      </c>
      <c r="F32">
        <v>0.99078873906971099</v>
      </c>
      <c r="G32">
        <v>90.064261865413897</v>
      </c>
      <c r="H32">
        <v>88.086256796844097</v>
      </c>
      <c r="I32" t="str">
        <f t="shared" si="1"/>
        <v>character</v>
      </c>
      <c r="J32">
        <v>411</v>
      </c>
      <c r="K32">
        <f t="shared" si="0"/>
        <v>98</v>
      </c>
    </row>
    <row r="33" spans="1:11" x14ac:dyDescent="0.2">
      <c r="A33" t="s">
        <v>39</v>
      </c>
      <c r="B33">
        <v>1055.3173828125</v>
      </c>
      <c r="C33">
        <v>5.7565620532182198</v>
      </c>
      <c r="D33">
        <v>29.9068886272571</v>
      </c>
      <c r="E33">
        <v>40.408991053324499</v>
      </c>
      <c r="F33">
        <v>0.98761585632332705</v>
      </c>
      <c r="G33">
        <v>89.260694912018295</v>
      </c>
      <c r="H33">
        <v>86.082162322358997</v>
      </c>
      <c r="I33" t="str">
        <f t="shared" si="1"/>
        <v>character</v>
      </c>
      <c r="J33">
        <v>411</v>
      </c>
      <c r="K33">
        <f t="shared" si="0"/>
        <v>99</v>
      </c>
    </row>
    <row r="34" spans="1:11" x14ac:dyDescent="0.2">
      <c r="A34" t="s">
        <v>40</v>
      </c>
      <c r="B34">
        <v>1161.6728515625</v>
      </c>
      <c r="C34">
        <v>5.2295273939034201</v>
      </c>
      <c r="D34">
        <v>30.862010933926001</v>
      </c>
      <c r="E34">
        <v>41.365501156561102</v>
      </c>
      <c r="F34">
        <v>0.99228141512824497</v>
      </c>
      <c r="G34">
        <v>91.148028946270998</v>
      </c>
      <c r="H34">
        <v>89.052406226479903</v>
      </c>
      <c r="I34" t="str">
        <f t="shared" si="1"/>
        <v>character</v>
      </c>
      <c r="J34">
        <v>411</v>
      </c>
      <c r="K34">
        <f t="shared" si="0"/>
        <v>100</v>
      </c>
    </row>
    <row r="35" spans="1:11" x14ac:dyDescent="0.2">
      <c r="A35" t="s">
        <v>41</v>
      </c>
      <c r="B35">
        <v>392.208984375</v>
      </c>
      <c r="C35">
        <v>15.489191329160301</v>
      </c>
      <c r="D35">
        <v>26.389827797775901</v>
      </c>
      <c r="E35">
        <v>33.332702758790298</v>
      </c>
      <c r="F35">
        <v>0.97449141494181901</v>
      </c>
      <c r="G35">
        <v>74.514139450305507</v>
      </c>
      <c r="H35">
        <v>78.465405908148796</v>
      </c>
      <c r="I35" t="str">
        <f t="shared" si="1"/>
        <v>earth</v>
      </c>
      <c r="J35">
        <v>411</v>
      </c>
      <c r="K35">
        <f t="shared" si="0"/>
        <v>90</v>
      </c>
    </row>
    <row r="36" spans="1:11" x14ac:dyDescent="0.2">
      <c r="A36" t="s">
        <v>42</v>
      </c>
      <c r="B36">
        <v>414.4287109375</v>
      </c>
      <c r="C36">
        <v>14.6587334315169</v>
      </c>
      <c r="D36">
        <v>26.658375311184301</v>
      </c>
      <c r="E36">
        <v>33.601452041775403</v>
      </c>
      <c r="F36">
        <v>0.97587091509479595</v>
      </c>
      <c r="G36">
        <v>75.159344837557796</v>
      </c>
      <c r="H36">
        <v>79.217665949279805</v>
      </c>
      <c r="I36" t="str">
        <f t="shared" si="1"/>
        <v>earth</v>
      </c>
      <c r="J36">
        <v>411</v>
      </c>
      <c r="K36">
        <f t="shared" si="0"/>
        <v>91</v>
      </c>
    </row>
    <row r="37" spans="1:11" x14ac:dyDescent="0.2">
      <c r="A37" t="s">
        <v>43</v>
      </c>
      <c r="B37">
        <v>440.1962890625</v>
      </c>
      <c r="C37">
        <v>13.800661547915601</v>
      </c>
      <c r="D37">
        <v>26.6126490271275</v>
      </c>
      <c r="E37">
        <v>33.555001038715503</v>
      </c>
      <c r="F37">
        <v>0.97578638040182797</v>
      </c>
      <c r="G37">
        <v>75.049004092762203</v>
      </c>
      <c r="H37">
        <v>79.171255197161102</v>
      </c>
      <c r="I37" t="str">
        <f t="shared" si="1"/>
        <v>earth</v>
      </c>
      <c r="J37">
        <v>411</v>
      </c>
      <c r="K37">
        <f t="shared" si="0"/>
        <v>92</v>
      </c>
    </row>
    <row r="38" spans="1:11" x14ac:dyDescent="0.2">
      <c r="A38" t="s">
        <v>44</v>
      </c>
      <c r="B38">
        <v>480.5517578125</v>
      </c>
      <c r="C38">
        <v>12.6417184023085</v>
      </c>
      <c r="D38">
        <v>26.862905733237199</v>
      </c>
      <c r="E38">
        <v>33.800820250317102</v>
      </c>
      <c r="F38">
        <v>0.97717221214910199</v>
      </c>
      <c r="G38">
        <v>75.627759081933803</v>
      </c>
      <c r="H38">
        <v>79.9373002088482</v>
      </c>
      <c r="I38" t="str">
        <f t="shared" si="1"/>
        <v>earth</v>
      </c>
      <c r="J38">
        <v>411</v>
      </c>
      <c r="K38">
        <f t="shared" si="0"/>
        <v>93</v>
      </c>
    </row>
    <row r="39" spans="1:11" x14ac:dyDescent="0.2">
      <c r="A39" t="s">
        <v>45</v>
      </c>
      <c r="B39">
        <v>530.3447265625</v>
      </c>
      <c r="C39">
        <v>11.454813625424199</v>
      </c>
      <c r="D39">
        <v>26.999710107363999</v>
      </c>
      <c r="E39">
        <v>33.937324662340501</v>
      </c>
      <c r="F39">
        <v>0.97803841586416096</v>
      </c>
      <c r="G39">
        <v>75.943939341036796</v>
      </c>
      <c r="H39">
        <v>80.421783665828102</v>
      </c>
      <c r="I39" t="str">
        <f t="shared" si="1"/>
        <v>earth</v>
      </c>
      <c r="J39">
        <v>411</v>
      </c>
      <c r="K39">
        <f t="shared" si="0"/>
        <v>94</v>
      </c>
    </row>
    <row r="40" spans="1:11" x14ac:dyDescent="0.2">
      <c r="A40" t="s">
        <v>46</v>
      </c>
      <c r="B40">
        <v>601.4560546875</v>
      </c>
      <c r="C40">
        <v>10.100488560475799</v>
      </c>
      <c r="D40">
        <v>26.8274531853762</v>
      </c>
      <c r="E40">
        <v>33.763778941013904</v>
      </c>
      <c r="F40">
        <v>0.97740379404671696</v>
      </c>
      <c r="G40">
        <v>75.541343112715495</v>
      </c>
      <c r="H40">
        <v>80.0663982972724</v>
      </c>
      <c r="I40" t="str">
        <f t="shared" si="1"/>
        <v>earth</v>
      </c>
      <c r="J40">
        <v>411</v>
      </c>
      <c r="K40">
        <f t="shared" si="0"/>
        <v>95</v>
      </c>
    </row>
    <row r="41" spans="1:11" x14ac:dyDescent="0.2">
      <c r="A41" t="s">
        <v>47</v>
      </c>
      <c r="B41">
        <v>682.4619140625</v>
      </c>
      <c r="C41">
        <v>8.9015956419271305</v>
      </c>
      <c r="D41">
        <v>27.0689643588763</v>
      </c>
      <c r="E41">
        <v>34.0096036838694</v>
      </c>
      <c r="F41">
        <v>0.978733595156278</v>
      </c>
      <c r="G41">
        <v>76.109964017567606</v>
      </c>
      <c r="H41">
        <v>80.813800096973907</v>
      </c>
      <c r="I41" t="str">
        <f t="shared" si="1"/>
        <v>earth</v>
      </c>
      <c r="J41">
        <v>411</v>
      </c>
      <c r="K41">
        <f t="shared" si="0"/>
        <v>96</v>
      </c>
    </row>
    <row r="42" spans="1:11" x14ac:dyDescent="0.2">
      <c r="A42" t="s">
        <v>48</v>
      </c>
      <c r="B42">
        <v>761.125</v>
      </c>
      <c r="C42">
        <v>7.9816061750697997</v>
      </c>
      <c r="D42">
        <v>27.416074693508499</v>
      </c>
      <c r="E42">
        <v>34.356642117083503</v>
      </c>
      <c r="F42">
        <v>0.98085235095651502</v>
      </c>
      <c r="G42">
        <v>76.8948923431862</v>
      </c>
      <c r="H42">
        <v>82.026336021047001</v>
      </c>
      <c r="I42" t="str">
        <f t="shared" si="1"/>
        <v>earth</v>
      </c>
      <c r="J42">
        <v>411</v>
      </c>
      <c r="K42">
        <f t="shared" si="0"/>
        <v>97</v>
      </c>
    </row>
    <row r="43" spans="1:11" x14ac:dyDescent="0.2">
      <c r="A43" t="s">
        <v>49</v>
      </c>
      <c r="B43">
        <v>917.1162109375</v>
      </c>
      <c r="C43">
        <v>6.62402422675527</v>
      </c>
      <c r="D43">
        <v>27.275492154226601</v>
      </c>
      <c r="E43">
        <v>34.215100231933903</v>
      </c>
      <c r="F43">
        <v>0.97982679714543897</v>
      </c>
      <c r="G43">
        <v>76.577080951649606</v>
      </c>
      <c r="H43">
        <v>81.436065010424699</v>
      </c>
      <c r="I43" t="str">
        <f t="shared" si="1"/>
        <v>earth</v>
      </c>
      <c r="J43">
        <v>411</v>
      </c>
      <c r="K43">
        <f t="shared" si="0"/>
        <v>98</v>
      </c>
    </row>
    <row r="44" spans="1:11" x14ac:dyDescent="0.2">
      <c r="A44" t="s">
        <v>50</v>
      </c>
      <c r="B44">
        <v>1166.6865234375</v>
      </c>
      <c r="C44">
        <v>5.2070542326149001</v>
      </c>
      <c r="D44">
        <v>27.368103125346401</v>
      </c>
      <c r="E44">
        <v>34.307425563801999</v>
      </c>
      <c r="F44">
        <v>0.98017457889265003</v>
      </c>
      <c r="G44">
        <v>76.784728825837504</v>
      </c>
      <c r="H44">
        <v>81.635525273304395</v>
      </c>
      <c r="I44" t="str">
        <f t="shared" si="1"/>
        <v>earth</v>
      </c>
      <c r="J44">
        <v>411</v>
      </c>
      <c r="K44">
        <f t="shared" si="0"/>
        <v>99</v>
      </c>
    </row>
    <row r="45" spans="1:11" x14ac:dyDescent="0.2">
      <c r="A45" t="s">
        <v>51</v>
      </c>
      <c r="B45">
        <v>1290.060546875</v>
      </c>
      <c r="C45">
        <v>4.7090813022039004</v>
      </c>
      <c r="D45">
        <v>27.5668249327003</v>
      </c>
      <c r="E45">
        <v>34.505332045619703</v>
      </c>
      <c r="F45">
        <v>0.98240521526012503</v>
      </c>
      <c r="G45">
        <v>77.225587414543597</v>
      </c>
      <c r="H45">
        <v>82.932266213526205</v>
      </c>
      <c r="I45" t="str">
        <f t="shared" si="1"/>
        <v>earth</v>
      </c>
      <c r="J45">
        <v>411</v>
      </c>
      <c r="K45">
        <f t="shared" si="0"/>
        <v>100</v>
      </c>
    </row>
    <row r="46" spans="1:11" x14ac:dyDescent="0.2">
      <c r="A46" t="s">
        <v>52</v>
      </c>
      <c r="B46">
        <v>234.0244140625</v>
      </c>
      <c r="C46">
        <v>25.958830083333002</v>
      </c>
      <c r="D46">
        <v>35.736855267911999</v>
      </c>
      <c r="E46">
        <v>41.674297578661402</v>
      </c>
      <c r="F46">
        <v>0.98572829622007496</v>
      </c>
      <c r="G46">
        <v>91.756673970837895</v>
      </c>
      <c r="H46">
        <v>84.921181362611193</v>
      </c>
      <c r="I46" t="str">
        <f t="shared" si="1"/>
        <v>flower</v>
      </c>
      <c r="J46">
        <v>411</v>
      </c>
      <c r="K46">
        <f t="shared" si="0"/>
        <v>90</v>
      </c>
    </row>
    <row r="47" spans="1:11" x14ac:dyDescent="0.2">
      <c r="A47" t="s">
        <v>53</v>
      </c>
      <c r="B47">
        <v>258.279296875</v>
      </c>
      <c r="C47">
        <v>23.5210490097475</v>
      </c>
      <c r="D47">
        <v>35.859256998973997</v>
      </c>
      <c r="E47">
        <v>41.796697080403298</v>
      </c>
      <c r="F47">
        <v>0.98612869700049899</v>
      </c>
      <c r="G47">
        <v>91.997858942513503</v>
      </c>
      <c r="H47">
        <v>85.165538867794595</v>
      </c>
      <c r="I47" t="str">
        <f t="shared" si="1"/>
        <v>flower</v>
      </c>
      <c r="J47">
        <v>411</v>
      </c>
      <c r="K47">
        <f t="shared" si="0"/>
        <v>91</v>
      </c>
    </row>
    <row r="48" spans="1:11" x14ac:dyDescent="0.2">
      <c r="A48" t="s">
        <v>54</v>
      </c>
      <c r="B48">
        <v>273.810546875</v>
      </c>
      <c r="C48">
        <v>22.186873622415099</v>
      </c>
      <c r="D48">
        <v>35.887775656446898</v>
      </c>
      <c r="E48">
        <v>41.825188147933801</v>
      </c>
      <c r="F48">
        <v>0.98622251671272798</v>
      </c>
      <c r="G48">
        <v>92.053994814700204</v>
      </c>
      <c r="H48">
        <v>85.222943902939093</v>
      </c>
      <c r="I48" t="str">
        <f t="shared" si="1"/>
        <v>flower</v>
      </c>
      <c r="J48">
        <v>411</v>
      </c>
      <c r="K48">
        <f t="shared" si="0"/>
        <v>92</v>
      </c>
    </row>
    <row r="49" spans="1:11" x14ac:dyDescent="0.2">
      <c r="A49" t="s">
        <v>55</v>
      </c>
      <c r="B49">
        <v>316.92578125</v>
      </c>
      <c r="C49">
        <v>19.1685257540089</v>
      </c>
      <c r="D49">
        <v>36.135313763610597</v>
      </c>
      <c r="E49">
        <v>42.065800184226397</v>
      </c>
      <c r="F49">
        <v>0.98676839662056504</v>
      </c>
      <c r="G49">
        <v>92.528001813555704</v>
      </c>
      <c r="H49">
        <v>85.558071632253601</v>
      </c>
      <c r="I49" t="str">
        <f t="shared" si="1"/>
        <v>flower</v>
      </c>
      <c r="J49">
        <v>411</v>
      </c>
      <c r="K49">
        <f t="shared" si="0"/>
        <v>93</v>
      </c>
    </row>
    <row r="50" spans="1:11" x14ac:dyDescent="0.2">
      <c r="A50" t="s">
        <v>56</v>
      </c>
      <c r="B50">
        <v>370.65625</v>
      </c>
      <c r="C50">
        <v>16.389849085237302</v>
      </c>
      <c r="D50">
        <v>36.305749973717603</v>
      </c>
      <c r="E50">
        <v>42.236028569366802</v>
      </c>
      <c r="F50">
        <v>0.98726096115969197</v>
      </c>
      <c r="G50">
        <v>92.863282806014894</v>
      </c>
      <c r="H50">
        <v>85.862119020388704</v>
      </c>
      <c r="I50" t="str">
        <f t="shared" si="1"/>
        <v>flower</v>
      </c>
      <c r="J50">
        <v>411</v>
      </c>
      <c r="K50">
        <f t="shared" si="0"/>
        <v>94</v>
      </c>
    </row>
    <row r="51" spans="1:11" x14ac:dyDescent="0.2">
      <c r="A51" t="s">
        <v>57</v>
      </c>
      <c r="B51">
        <v>437.068359375</v>
      </c>
      <c r="C51">
        <v>13.899427560226799</v>
      </c>
      <c r="D51">
        <v>36.396792194799403</v>
      </c>
      <c r="E51">
        <v>42.326962892734798</v>
      </c>
      <c r="F51">
        <v>0.98758780110807998</v>
      </c>
      <c r="G51">
        <v>93.042365056206407</v>
      </c>
      <c r="H51">
        <v>86.064737599991105</v>
      </c>
      <c r="I51" t="str">
        <f t="shared" si="1"/>
        <v>flower</v>
      </c>
      <c r="J51">
        <v>411</v>
      </c>
      <c r="K51">
        <f t="shared" si="0"/>
        <v>95</v>
      </c>
    </row>
    <row r="52" spans="1:11" x14ac:dyDescent="0.2">
      <c r="A52" t="s">
        <v>58</v>
      </c>
      <c r="B52">
        <v>543.1650390625</v>
      </c>
      <c r="C52">
        <v>11.1844459107409</v>
      </c>
      <c r="D52">
        <v>36.7355521766981</v>
      </c>
      <c r="E52">
        <v>42.672558206195703</v>
      </c>
      <c r="F52">
        <v>0.98879764784919399</v>
      </c>
      <c r="G52">
        <v>93.722843891011095</v>
      </c>
      <c r="H52">
        <v>86.820834531426499</v>
      </c>
      <c r="I52" t="str">
        <f t="shared" si="1"/>
        <v>flower</v>
      </c>
      <c r="J52">
        <v>411</v>
      </c>
      <c r="K52">
        <f t="shared" si="0"/>
        <v>96</v>
      </c>
    </row>
    <row r="53" spans="1:11" x14ac:dyDescent="0.2">
      <c r="A53" t="s">
        <v>59</v>
      </c>
      <c r="B53">
        <v>634.091796875</v>
      </c>
      <c r="C53">
        <v>9.5806317475474003</v>
      </c>
      <c r="D53">
        <v>37.480273535844297</v>
      </c>
      <c r="E53">
        <v>43.417420708077799</v>
      </c>
      <c r="F53">
        <v>0.99082273059324699</v>
      </c>
      <c r="G53">
        <v>95.188952716207098</v>
      </c>
      <c r="H53">
        <v>88.108090180855498</v>
      </c>
      <c r="I53" t="str">
        <f t="shared" si="1"/>
        <v>flower</v>
      </c>
      <c r="J53">
        <v>411</v>
      </c>
      <c r="K53">
        <f t="shared" si="0"/>
        <v>97</v>
      </c>
    </row>
    <row r="54" spans="1:11" x14ac:dyDescent="0.2">
      <c r="A54" t="s">
        <v>60</v>
      </c>
      <c r="B54">
        <v>778.0546875</v>
      </c>
      <c r="C54">
        <v>7.8079344519082996</v>
      </c>
      <c r="D54">
        <v>38.023296056106602</v>
      </c>
      <c r="E54">
        <v>43.960248099875201</v>
      </c>
      <c r="F54">
        <v>0.99222889555954197</v>
      </c>
      <c r="G54">
        <v>96.257061960440197</v>
      </c>
      <c r="H54">
        <v>89.018154912837204</v>
      </c>
      <c r="I54" t="str">
        <f t="shared" si="1"/>
        <v>flower</v>
      </c>
      <c r="J54">
        <v>411</v>
      </c>
      <c r="K54">
        <f t="shared" si="0"/>
        <v>98</v>
      </c>
    </row>
    <row r="55" spans="1:11" x14ac:dyDescent="0.2">
      <c r="A55" t="s">
        <v>61</v>
      </c>
      <c r="B55">
        <v>1054.1318359375</v>
      </c>
      <c r="C55">
        <v>5.7630362663292098</v>
      </c>
      <c r="D55">
        <v>37.205274888789297</v>
      </c>
      <c r="E55">
        <v>43.141674593023097</v>
      </c>
      <c r="F55">
        <v>0.98956228498390597</v>
      </c>
      <c r="G55">
        <v>94.646274999343603</v>
      </c>
      <c r="H55">
        <v>87.303669487977501</v>
      </c>
      <c r="I55" t="str">
        <f t="shared" si="1"/>
        <v>flower</v>
      </c>
      <c r="J55">
        <v>411</v>
      </c>
      <c r="K55">
        <f t="shared" si="0"/>
        <v>99</v>
      </c>
    </row>
    <row r="56" spans="1:11" x14ac:dyDescent="0.2">
      <c r="A56" t="s">
        <v>62</v>
      </c>
      <c r="B56">
        <v>1142.8505859375</v>
      </c>
      <c r="C56">
        <v>5.3156554975352002</v>
      </c>
      <c r="D56">
        <v>39.068244214280099</v>
      </c>
      <c r="E56">
        <v>45.005618834747501</v>
      </c>
      <c r="F56">
        <v>0.99422828789614004</v>
      </c>
      <c r="G56">
        <v>98.313500441675004</v>
      </c>
      <c r="H56">
        <v>90.3354979805667</v>
      </c>
      <c r="I56" t="str">
        <f t="shared" si="1"/>
        <v>flower</v>
      </c>
      <c r="J56">
        <v>411</v>
      </c>
      <c r="K56">
        <f t="shared" si="0"/>
        <v>100</v>
      </c>
    </row>
    <row r="57" spans="1:11" x14ac:dyDescent="0.2">
      <c r="A57" t="s">
        <v>63</v>
      </c>
      <c r="B57">
        <v>437.603515625</v>
      </c>
      <c r="C57">
        <v>13.882429603709801</v>
      </c>
      <c r="D57">
        <v>22.811881323280101</v>
      </c>
      <c r="E57">
        <v>31.617772615617099</v>
      </c>
      <c r="F57">
        <v>0.97427764241277204</v>
      </c>
      <c r="G57">
        <v>69.860309997651697</v>
      </c>
      <c r="H57">
        <v>78.349800964936506</v>
      </c>
      <c r="I57" t="str">
        <f t="shared" si="1"/>
        <v>pcgame</v>
      </c>
      <c r="J57">
        <v>411</v>
      </c>
      <c r="K57">
        <f t="shared" si="0"/>
        <v>90</v>
      </c>
    </row>
    <row r="58" spans="1:11" x14ac:dyDescent="0.2">
      <c r="A58" t="s">
        <v>64</v>
      </c>
      <c r="B58">
        <v>452.939453125</v>
      </c>
      <c r="C58">
        <v>13.412388693646101</v>
      </c>
      <c r="D58">
        <v>23.0182564731385</v>
      </c>
      <c r="E58">
        <v>31.824507118355001</v>
      </c>
      <c r="F58">
        <v>0.97582772895340497</v>
      </c>
      <c r="G58">
        <v>70.484861891553095</v>
      </c>
      <c r="H58">
        <v>79.193951014008206</v>
      </c>
      <c r="I58" t="str">
        <f t="shared" si="1"/>
        <v>pcgame</v>
      </c>
      <c r="J58">
        <v>411</v>
      </c>
      <c r="K58">
        <f t="shared" si="0"/>
        <v>91</v>
      </c>
    </row>
    <row r="59" spans="1:11" x14ac:dyDescent="0.2">
      <c r="A59" t="s">
        <v>65</v>
      </c>
      <c r="B59">
        <v>473.7998046875</v>
      </c>
      <c r="C59">
        <v>12.821871051649801</v>
      </c>
      <c r="D59">
        <v>22.974188410307899</v>
      </c>
      <c r="E59">
        <v>31.7793960540934</v>
      </c>
      <c r="F59">
        <v>0.975721076605082</v>
      </c>
      <c r="G59">
        <v>70.350393785497999</v>
      </c>
      <c r="H59">
        <v>79.135430568883294</v>
      </c>
      <c r="I59" t="str">
        <f t="shared" si="1"/>
        <v>pcgame</v>
      </c>
      <c r="J59">
        <v>411</v>
      </c>
      <c r="K59">
        <f t="shared" si="0"/>
        <v>92</v>
      </c>
    </row>
    <row r="60" spans="1:11" x14ac:dyDescent="0.2">
      <c r="A60" t="s">
        <v>66</v>
      </c>
      <c r="B60">
        <v>508.6826171875</v>
      </c>
      <c r="C60">
        <v>11.9426137138096</v>
      </c>
      <c r="D60">
        <v>23.1487943156787</v>
      </c>
      <c r="E60">
        <v>31.948991094214001</v>
      </c>
      <c r="F60">
        <v>0.97729022016879796</v>
      </c>
      <c r="G60">
        <v>70.850889767004404</v>
      </c>
      <c r="H60">
        <v>80.003046088901797</v>
      </c>
      <c r="I60" t="str">
        <f t="shared" si="1"/>
        <v>pcgame</v>
      </c>
      <c r="J60">
        <v>411</v>
      </c>
      <c r="K60">
        <f t="shared" si="0"/>
        <v>93</v>
      </c>
    </row>
    <row r="61" spans="1:11" x14ac:dyDescent="0.2">
      <c r="A61" t="s">
        <v>67</v>
      </c>
      <c r="B61">
        <v>551.7314453125</v>
      </c>
      <c r="C61">
        <v>11.0107916661504</v>
      </c>
      <c r="D61">
        <v>23.2338460881797</v>
      </c>
      <c r="E61">
        <v>32.034298610625697</v>
      </c>
      <c r="F61">
        <v>0.97834171256132496</v>
      </c>
      <c r="G61">
        <v>71.097593844505397</v>
      </c>
      <c r="H61">
        <v>80.592464002316106</v>
      </c>
      <c r="I61" t="str">
        <f t="shared" si="1"/>
        <v>pcgame</v>
      </c>
      <c r="J61">
        <v>411</v>
      </c>
      <c r="K61">
        <f t="shared" si="0"/>
        <v>94</v>
      </c>
    </row>
    <row r="62" spans="1:11" x14ac:dyDescent="0.2">
      <c r="A62" t="s">
        <v>68</v>
      </c>
      <c r="B62">
        <v>601.625</v>
      </c>
      <c r="C62">
        <v>10.097652191980099</v>
      </c>
      <c r="D62">
        <v>23.177322061617701</v>
      </c>
      <c r="E62">
        <v>31.976797829449701</v>
      </c>
      <c r="F62">
        <v>0.97829574485083204</v>
      </c>
      <c r="G62">
        <v>70.931666817676302</v>
      </c>
      <c r="H62">
        <v>80.566560799797998</v>
      </c>
      <c r="I62" t="str">
        <f t="shared" si="1"/>
        <v>pcgame</v>
      </c>
      <c r="J62">
        <v>411</v>
      </c>
      <c r="K62">
        <f t="shared" si="0"/>
        <v>95</v>
      </c>
    </row>
    <row r="63" spans="1:11" x14ac:dyDescent="0.2">
      <c r="A63" t="s">
        <v>69</v>
      </c>
      <c r="B63">
        <v>652.5361328125</v>
      </c>
      <c r="C63">
        <v>9.3098292868719792</v>
      </c>
      <c r="D63">
        <v>23.306867301195901</v>
      </c>
      <c r="E63">
        <v>32.111334957563699</v>
      </c>
      <c r="F63">
        <v>0.97953726347096703</v>
      </c>
      <c r="G63">
        <v>71.3175994775346</v>
      </c>
      <c r="H63">
        <v>81.270564538281604</v>
      </c>
      <c r="I63" t="str">
        <f t="shared" si="1"/>
        <v>pcgame</v>
      </c>
      <c r="J63">
        <v>411</v>
      </c>
      <c r="K63">
        <f t="shared" si="0"/>
        <v>96</v>
      </c>
    </row>
    <row r="64" spans="1:11" x14ac:dyDescent="0.2">
      <c r="A64" t="s">
        <v>70</v>
      </c>
      <c r="B64">
        <v>715.4072265625</v>
      </c>
      <c r="C64">
        <v>8.4916670875552995</v>
      </c>
      <c r="D64">
        <v>23.4490228027745</v>
      </c>
      <c r="E64">
        <v>32.253625895580598</v>
      </c>
      <c r="F64">
        <v>0.98102085275495299</v>
      </c>
      <c r="G64">
        <v>71.717310339964996</v>
      </c>
      <c r="H64">
        <v>82.123927412373902</v>
      </c>
      <c r="I64" t="str">
        <f t="shared" si="1"/>
        <v>pcgame</v>
      </c>
      <c r="J64">
        <v>411</v>
      </c>
      <c r="K64">
        <f t="shared" si="0"/>
        <v>97</v>
      </c>
    </row>
    <row r="65" spans="1:11" x14ac:dyDescent="0.2">
      <c r="A65" t="s">
        <v>71</v>
      </c>
      <c r="B65">
        <v>795.865234375</v>
      </c>
      <c r="C65">
        <v>7.6332018759064804</v>
      </c>
      <c r="D65">
        <v>23.397725094597099</v>
      </c>
      <c r="E65">
        <v>32.2012887998076</v>
      </c>
      <c r="F65">
        <v>0.98077291778560105</v>
      </c>
      <c r="G65">
        <v>71.571270437236805</v>
      </c>
      <c r="H65">
        <v>81.980390325762798</v>
      </c>
      <c r="I65" t="str">
        <f t="shared" si="1"/>
        <v>pcgame</v>
      </c>
      <c r="J65">
        <v>411</v>
      </c>
      <c r="K65">
        <f t="shared" si="0"/>
        <v>98</v>
      </c>
    </row>
    <row r="66" spans="1:11" x14ac:dyDescent="0.2">
      <c r="A66" t="s">
        <v>72</v>
      </c>
      <c r="B66">
        <v>966.1240234375</v>
      </c>
      <c r="C66">
        <v>6.2880125663214104</v>
      </c>
      <c r="D66">
        <v>23.4098991609381</v>
      </c>
      <c r="E66">
        <v>32.213397787188597</v>
      </c>
      <c r="F66">
        <v>0.98085360230285001</v>
      </c>
      <c r="G66">
        <v>71.6051590409553</v>
      </c>
      <c r="H66">
        <v>82.027060130102399</v>
      </c>
      <c r="I66" t="str">
        <f t="shared" si="1"/>
        <v>pcgame</v>
      </c>
      <c r="J66">
        <v>411</v>
      </c>
      <c r="K66">
        <f t="shared" ref="K66:K129" si="2">(MID(A66,FIND("gimp",A66)+4,FIND(".",A66)-FIND("gimp",A66)-4))+0</f>
        <v>99</v>
      </c>
    </row>
    <row r="67" spans="1:11" x14ac:dyDescent="0.2">
      <c r="A67" t="s">
        <v>73</v>
      </c>
      <c r="B67">
        <v>1020.2099609375</v>
      </c>
      <c r="C67">
        <v>5.9546566222677404</v>
      </c>
      <c r="D67">
        <v>23.462376241053601</v>
      </c>
      <c r="E67">
        <v>32.266168187806102</v>
      </c>
      <c r="F67">
        <v>0.98210483794082104</v>
      </c>
      <c r="G67">
        <v>71.752142101005006</v>
      </c>
      <c r="H67">
        <v>82.755876404242599</v>
      </c>
      <c r="I67" t="str">
        <f t="shared" ref="I67:I130" si="3">LEFT(A67,FIND("/",A67)-1)</f>
        <v>pcgame</v>
      </c>
      <c r="J67">
        <v>411</v>
      </c>
      <c r="K67">
        <f t="shared" si="2"/>
        <v>100</v>
      </c>
    </row>
    <row r="68" spans="1:11" x14ac:dyDescent="0.2">
      <c r="A68" t="s">
        <v>74</v>
      </c>
      <c r="B68">
        <v>427.771484375</v>
      </c>
      <c r="C68">
        <v>14.201507631758</v>
      </c>
      <c r="D68">
        <v>27.178857190187902</v>
      </c>
      <c r="E68">
        <v>29.317699840781799</v>
      </c>
      <c r="F68">
        <v>0.97167998341762296</v>
      </c>
      <c r="G68">
        <v>61.082449125476003</v>
      </c>
      <c r="H68">
        <v>76.965473933789795</v>
      </c>
      <c r="I68" t="str">
        <f t="shared" si="3"/>
        <v>pc_desktop</v>
      </c>
      <c r="J68">
        <v>411</v>
      </c>
      <c r="K68">
        <f t="shared" si="2"/>
        <v>90</v>
      </c>
    </row>
    <row r="69" spans="1:11" x14ac:dyDescent="0.2">
      <c r="A69" t="s">
        <v>75</v>
      </c>
      <c r="B69">
        <v>445.365234375</v>
      </c>
      <c r="C69">
        <v>13.640489941980601</v>
      </c>
      <c r="D69">
        <v>27.3192695526396</v>
      </c>
      <c r="E69">
        <v>29.456857084863699</v>
      </c>
      <c r="F69">
        <v>0.97374101512810196</v>
      </c>
      <c r="G69">
        <v>61.722543375849099</v>
      </c>
      <c r="H69">
        <v>78.060736892117802</v>
      </c>
      <c r="I69" t="str">
        <f t="shared" si="3"/>
        <v>pc_desktop</v>
      </c>
      <c r="J69">
        <v>411</v>
      </c>
      <c r="K69">
        <f t="shared" si="2"/>
        <v>91</v>
      </c>
    </row>
    <row r="70" spans="1:11" x14ac:dyDescent="0.2">
      <c r="A70" t="s">
        <v>76</v>
      </c>
      <c r="B70">
        <v>463.9697265625</v>
      </c>
      <c r="C70">
        <v>13.0935266940992</v>
      </c>
      <c r="D70">
        <v>27.3012773828946</v>
      </c>
      <c r="E70">
        <v>29.4379750497306</v>
      </c>
      <c r="F70">
        <v>0.97427020447851398</v>
      </c>
      <c r="G70">
        <v>61.636529108283398</v>
      </c>
      <c r="H70">
        <v>78.345783292614698</v>
      </c>
      <c r="I70" t="str">
        <f t="shared" si="3"/>
        <v>pc_desktop</v>
      </c>
      <c r="J70">
        <v>411</v>
      </c>
      <c r="K70">
        <f t="shared" si="2"/>
        <v>92</v>
      </c>
    </row>
    <row r="71" spans="1:11" x14ac:dyDescent="0.2">
      <c r="A71" t="s">
        <v>77</v>
      </c>
      <c r="B71">
        <v>494.880859375</v>
      </c>
      <c r="C71">
        <v>12.2756818836604</v>
      </c>
      <c r="D71">
        <v>27.407931375870401</v>
      </c>
      <c r="E71">
        <v>29.5416368121017</v>
      </c>
      <c r="F71">
        <v>0.97659873482672699</v>
      </c>
      <c r="G71">
        <v>62.105463785197401</v>
      </c>
      <c r="H71">
        <v>79.618951879934698</v>
      </c>
      <c r="I71" t="str">
        <f t="shared" si="3"/>
        <v>pc_desktop</v>
      </c>
      <c r="J71">
        <v>411</v>
      </c>
      <c r="K71">
        <f t="shared" si="2"/>
        <v>93</v>
      </c>
    </row>
    <row r="72" spans="1:11" x14ac:dyDescent="0.2">
      <c r="A72" t="s">
        <v>78</v>
      </c>
      <c r="B72">
        <v>531.6396484375</v>
      </c>
      <c r="C72">
        <v>11.4269129811039</v>
      </c>
      <c r="D72">
        <v>27.455400662694199</v>
      </c>
      <c r="E72">
        <v>29.587819761382399</v>
      </c>
      <c r="F72">
        <v>0.97806513797359595</v>
      </c>
      <c r="G72">
        <v>62.311785684438298</v>
      </c>
      <c r="H72">
        <v>80.436799783925807</v>
      </c>
      <c r="I72" t="str">
        <f t="shared" si="3"/>
        <v>pc_desktop</v>
      </c>
      <c r="J72">
        <v>411</v>
      </c>
      <c r="K72">
        <f t="shared" si="2"/>
        <v>94</v>
      </c>
    </row>
    <row r="73" spans="1:11" x14ac:dyDescent="0.2">
      <c r="A73" t="s">
        <v>79</v>
      </c>
      <c r="B73">
        <v>580.0966796875</v>
      </c>
      <c r="C73">
        <v>10.4723922972161</v>
      </c>
      <c r="D73">
        <v>27.400846565444802</v>
      </c>
      <c r="E73">
        <v>29.532211048512799</v>
      </c>
      <c r="F73">
        <v>0.97881772618123197</v>
      </c>
      <c r="G73">
        <v>62.063157023141898</v>
      </c>
      <c r="H73">
        <v>80.861435993926094</v>
      </c>
      <c r="I73" t="str">
        <f t="shared" si="3"/>
        <v>pc_desktop</v>
      </c>
      <c r="J73">
        <v>411</v>
      </c>
      <c r="K73">
        <f t="shared" si="2"/>
        <v>95</v>
      </c>
    </row>
    <row r="74" spans="1:11" x14ac:dyDescent="0.2">
      <c r="A74" t="s">
        <v>80</v>
      </c>
      <c r="B74">
        <v>637.26171875</v>
      </c>
      <c r="C74">
        <v>9.5329749477439503</v>
      </c>
      <c r="D74">
        <v>27.471233919285901</v>
      </c>
      <c r="E74">
        <v>29.6027351307191</v>
      </c>
      <c r="F74">
        <v>0.98026486973221505</v>
      </c>
      <c r="G74">
        <v>62.378076320127299</v>
      </c>
      <c r="H74">
        <v>81.687427906299007</v>
      </c>
      <c r="I74" t="str">
        <f t="shared" si="3"/>
        <v>pc_desktop</v>
      </c>
      <c r="J74">
        <v>411</v>
      </c>
      <c r="K74">
        <f t="shared" si="2"/>
        <v>96</v>
      </c>
    </row>
    <row r="75" spans="1:11" x14ac:dyDescent="0.2">
      <c r="A75" t="s">
        <v>81</v>
      </c>
      <c r="B75">
        <v>697.158203125</v>
      </c>
      <c r="C75">
        <v>8.7139475269299194</v>
      </c>
      <c r="D75">
        <v>27.5667032372954</v>
      </c>
      <c r="E75">
        <v>29.696266223498199</v>
      </c>
      <c r="F75">
        <v>0.98250312262450601</v>
      </c>
      <c r="G75">
        <v>62.789931919103601</v>
      </c>
      <c r="H75">
        <v>82.989880192347997</v>
      </c>
      <c r="I75" t="str">
        <f t="shared" si="3"/>
        <v>pc_desktop</v>
      </c>
      <c r="J75">
        <v>411</v>
      </c>
      <c r="K75">
        <f t="shared" si="2"/>
        <v>97</v>
      </c>
    </row>
    <row r="76" spans="1:11" x14ac:dyDescent="0.2">
      <c r="A76" t="s">
        <v>82</v>
      </c>
      <c r="B76">
        <v>784.6181640625</v>
      </c>
      <c r="C76">
        <v>7.7426196311153497</v>
      </c>
      <c r="D76">
        <v>27.538622982077101</v>
      </c>
      <c r="E76">
        <v>29.6669138315034</v>
      </c>
      <c r="F76">
        <v>0.98272974321706696</v>
      </c>
      <c r="G76">
        <v>62.661395414410002</v>
      </c>
      <c r="H76">
        <v>83.123462971711007</v>
      </c>
      <c r="I76" t="str">
        <f t="shared" si="3"/>
        <v>pc_desktop</v>
      </c>
      <c r="J76">
        <v>411</v>
      </c>
      <c r="K76">
        <f t="shared" si="2"/>
        <v>98</v>
      </c>
    </row>
    <row r="77" spans="1:11" x14ac:dyDescent="0.2">
      <c r="A77" t="s">
        <v>83</v>
      </c>
      <c r="B77">
        <v>947.54296875</v>
      </c>
      <c r="C77">
        <v>6.4113187479129801</v>
      </c>
      <c r="D77">
        <v>27.550661477367399</v>
      </c>
      <c r="E77">
        <v>29.677073146778</v>
      </c>
      <c r="F77">
        <v>0.98310916488310096</v>
      </c>
      <c r="G77">
        <v>62.705957885028702</v>
      </c>
      <c r="H77">
        <v>83.347826688665705</v>
      </c>
      <c r="I77" t="str">
        <f t="shared" si="3"/>
        <v>pc_desktop</v>
      </c>
      <c r="J77">
        <v>411</v>
      </c>
      <c r="K77">
        <f t="shared" si="2"/>
        <v>99</v>
      </c>
    </row>
    <row r="78" spans="1:11" x14ac:dyDescent="0.2">
      <c r="A78" t="s">
        <v>84</v>
      </c>
      <c r="B78">
        <v>1012.380859375</v>
      </c>
      <c r="C78">
        <v>6.0007061016053198</v>
      </c>
      <c r="D78">
        <v>27.580867179646301</v>
      </c>
      <c r="E78">
        <v>29.7056990424595</v>
      </c>
      <c r="F78">
        <v>0.98507479089771699</v>
      </c>
      <c r="G78">
        <v>62.831100087773002</v>
      </c>
      <c r="H78">
        <v>84.524555840507901</v>
      </c>
      <c r="I78" t="str">
        <f t="shared" si="3"/>
        <v>pc_desktop</v>
      </c>
      <c r="J78">
        <v>411</v>
      </c>
      <c r="K78">
        <f t="shared" si="2"/>
        <v>100</v>
      </c>
    </row>
    <row r="79" spans="1:11" x14ac:dyDescent="0.2">
      <c r="A79" t="s">
        <v>85</v>
      </c>
      <c r="B79">
        <v>327.751953125</v>
      </c>
      <c r="C79">
        <v>18.5353586518006</v>
      </c>
      <c r="D79">
        <v>32.745162773490101</v>
      </c>
      <c r="E79">
        <v>38.111693974312601</v>
      </c>
      <c r="F79">
        <v>0.98089572027304095</v>
      </c>
      <c r="G79">
        <v>84.701500232059402</v>
      </c>
      <c r="H79">
        <v>82.051437819779693</v>
      </c>
      <c r="I79" t="str">
        <f t="shared" si="3"/>
        <v>shop</v>
      </c>
      <c r="J79">
        <v>411</v>
      </c>
      <c r="K79">
        <f t="shared" si="2"/>
        <v>90</v>
      </c>
    </row>
    <row r="80" spans="1:11" x14ac:dyDescent="0.2">
      <c r="A80" t="s">
        <v>86</v>
      </c>
      <c r="B80">
        <v>347.9453125</v>
      </c>
      <c r="C80">
        <v>17.459640299077201</v>
      </c>
      <c r="D80">
        <v>33.019707181529299</v>
      </c>
      <c r="E80">
        <v>38.3865907204693</v>
      </c>
      <c r="F80">
        <v>0.98198862001742904</v>
      </c>
      <c r="G80">
        <v>85.250363495346903</v>
      </c>
      <c r="H80">
        <v>82.687778873222399</v>
      </c>
      <c r="I80" t="str">
        <f t="shared" si="3"/>
        <v>shop</v>
      </c>
      <c r="J80">
        <v>411</v>
      </c>
      <c r="K80">
        <f t="shared" si="2"/>
        <v>91</v>
      </c>
    </row>
    <row r="81" spans="1:11" x14ac:dyDescent="0.2">
      <c r="A81" t="s">
        <v>87</v>
      </c>
      <c r="B81">
        <v>365.87890625</v>
      </c>
      <c r="C81">
        <v>16.603854161106099</v>
      </c>
      <c r="D81">
        <v>32.988229305537601</v>
      </c>
      <c r="E81">
        <v>38.354997640780397</v>
      </c>
      <c r="F81">
        <v>0.98185465518913995</v>
      </c>
      <c r="G81">
        <v>85.187348993881898</v>
      </c>
      <c r="H81">
        <v>82.609385419500995</v>
      </c>
      <c r="I81" t="str">
        <f t="shared" si="3"/>
        <v>shop</v>
      </c>
      <c r="J81">
        <v>411</v>
      </c>
      <c r="K81">
        <f t="shared" si="2"/>
        <v>92</v>
      </c>
    </row>
    <row r="82" spans="1:11" x14ac:dyDescent="0.2">
      <c r="A82" t="s">
        <v>88</v>
      </c>
      <c r="B82">
        <v>404.2177734375</v>
      </c>
      <c r="C82">
        <v>15.0290274184079</v>
      </c>
      <c r="D82">
        <v>33.286041625656601</v>
      </c>
      <c r="E82">
        <v>38.647146395540098</v>
      </c>
      <c r="F82">
        <v>0.98303080289078604</v>
      </c>
      <c r="G82">
        <v>85.769479394724002</v>
      </c>
      <c r="H82">
        <v>83.301415695496601</v>
      </c>
      <c r="I82" t="str">
        <f t="shared" si="3"/>
        <v>shop</v>
      </c>
      <c r="J82">
        <v>411</v>
      </c>
      <c r="K82">
        <f t="shared" si="2"/>
        <v>93</v>
      </c>
    </row>
    <row r="83" spans="1:11" x14ac:dyDescent="0.2">
      <c r="A83" t="s">
        <v>89</v>
      </c>
      <c r="B83">
        <v>446.8671875</v>
      </c>
      <c r="C83">
        <v>13.594643262994101</v>
      </c>
      <c r="D83">
        <v>33.446778055105497</v>
      </c>
      <c r="E83">
        <v>38.807739845897999</v>
      </c>
      <c r="F83">
        <v>0.98373294064427996</v>
      </c>
      <c r="G83">
        <v>86.088963172839797</v>
      </c>
      <c r="H83">
        <v>83.718629247865195</v>
      </c>
      <c r="I83" t="str">
        <f t="shared" si="3"/>
        <v>shop</v>
      </c>
      <c r="J83">
        <v>411</v>
      </c>
      <c r="K83">
        <f t="shared" si="2"/>
        <v>94</v>
      </c>
    </row>
    <row r="84" spans="1:11" x14ac:dyDescent="0.2">
      <c r="A84" t="s">
        <v>90</v>
      </c>
      <c r="B84">
        <v>507.8466796875</v>
      </c>
      <c r="C84">
        <v>11.9622717701693</v>
      </c>
      <c r="D84">
        <v>33.283747704942002</v>
      </c>
      <c r="E84">
        <v>38.644500455715402</v>
      </c>
      <c r="F84">
        <v>0.98336179889828901</v>
      </c>
      <c r="G84">
        <v>85.764212699871194</v>
      </c>
      <c r="H84">
        <v>83.497712548514301</v>
      </c>
      <c r="I84" t="str">
        <f t="shared" si="3"/>
        <v>shop</v>
      </c>
      <c r="J84">
        <v>411</v>
      </c>
      <c r="K84">
        <f t="shared" si="2"/>
        <v>95</v>
      </c>
    </row>
    <row r="85" spans="1:11" x14ac:dyDescent="0.2">
      <c r="A85" t="s">
        <v>91</v>
      </c>
      <c r="B85">
        <v>592.1171875</v>
      </c>
      <c r="C85">
        <v>10.259793379161099</v>
      </c>
      <c r="D85">
        <v>33.568281385795402</v>
      </c>
      <c r="E85">
        <v>38.934874022312997</v>
      </c>
      <c r="F85">
        <v>0.98461418882897001</v>
      </c>
      <c r="G85">
        <v>86.341652590369705</v>
      </c>
      <c r="H85">
        <v>84.246635483492099</v>
      </c>
      <c r="I85" t="str">
        <f t="shared" si="3"/>
        <v>shop</v>
      </c>
      <c r="J85">
        <v>411</v>
      </c>
      <c r="K85">
        <f t="shared" si="2"/>
        <v>96</v>
      </c>
    </row>
    <row r="86" spans="1:11" x14ac:dyDescent="0.2">
      <c r="A86" t="s">
        <v>92</v>
      </c>
      <c r="B86">
        <v>680.0478515625</v>
      </c>
      <c r="C86">
        <v>8.9331949009792204</v>
      </c>
      <c r="D86">
        <v>34.001784095816298</v>
      </c>
      <c r="E86">
        <v>39.368653796595801</v>
      </c>
      <c r="F86">
        <v>0.98651658441792001</v>
      </c>
      <c r="G86">
        <v>87.202483641220198</v>
      </c>
      <c r="H86">
        <v>85.403240156318603</v>
      </c>
      <c r="I86" t="str">
        <f t="shared" si="3"/>
        <v>shop</v>
      </c>
      <c r="J86">
        <v>411</v>
      </c>
      <c r="K86">
        <f t="shared" si="2"/>
        <v>97</v>
      </c>
    </row>
    <row r="87" spans="1:11" x14ac:dyDescent="0.2">
      <c r="A87" t="s">
        <v>93</v>
      </c>
      <c r="B87">
        <v>839.84765625</v>
      </c>
      <c r="C87">
        <v>7.2334547281175396</v>
      </c>
      <c r="D87">
        <v>33.902451905549903</v>
      </c>
      <c r="E87">
        <v>39.269087179953303</v>
      </c>
      <c r="F87">
        <v>0.98618793871338695</v>
      </c>
      <c r="G87">
        <v>87.005062789983398</v>
      </c>
      <c r="H87">
        <v>85.201780249356304</v>
      </c>
      <c r="I87" t="str">
        <f t="shared" si="3"/>
        <v>shop</v>
      </c>
      <c r="J87">
        <v>411</v>
      </c>
      <c r="K87">
        <f t="shared" si="2"/>
        <v>98</v>
      </c>
    </row>
    <row r="88" spans="1:11" x14ac:dyDescent="0.2">
      <c r="A88" t="s">
        <v>94</v>
      </c>
      <c r="B88">
        <v>1130.8427734375</v>
      </c>
      <c r="C88">
        <v>5.3720995904084896</v>
      </c>
      <c r="D88">
        <v>33.7143158483928</v>
      </c>
      <c r="E88">
        <v>39.080507867569303</v>
      </c>
      <c r="F88">
        <v>0.98333445400207897</v>
      </c>
      <c r="G88">
        <v>86.630880791534196</v>
      </c>
      <c r="H88">
        <v>83.4814698661514</v>
      </c>
      <c r="I88" t="str">
        <f t="shared" si="3"/>
        <v>shop</v>
      </c>
      <c r="J88">
        <v>411</v>
      </c>
      <c r="K88">
        <f t="shared" si="2"/>
        <v>99</v>
      </c>
    </row>
    <row r="89" spans="1:11" x14ac:dyDescent="0.2">
      <c r="A89" t="s">
        <v>95</v>
      </c>
      <c r="B89">
        <v>1232.5654296875</v>
      </c>
      <c r="C89">
        <v>4.9287444330969397</v>
      </c>
      <c r="D89">
        <v>34.355031732180898</v>
      </c>
      <c r="E89">
        <v>39.722011271973599</v>
      </c>
      <c r="F89">
        <v>0.98863381138519502</v>
      </c>
      <c r="G89">
        <v>87.902425134908</v>
      </c>
      <c r="H89">
        <v>86.717881869157097</v>
      </c>
      <c r="I89" t="str">
        <f t="shared" si="3"/>
        <v>shop</v>
      </c>
      <c r="J89">
        <v>411</v>
      </c>
      <c r="K89">
        <f t="shared" si="2"/>
        <v>100</v>
      </c>
    </row>
    <row r="90" spans="1:11" x14ac:dyDescent="0.2">
      <c r="A90" t="s">
        <v>96</v>
      </c>
      <c r="B90">
        <v>502.6025390625</v>
      </c>
      <c r="C90">
        <v>12.087085774241499</v>
      </c>
      <c r="D90">
        <v>30.761622819865199</v>
      </c>
      <c r="E90">
        <v>37.110139533423002</v>
      </c>
      <c r="F90">
        <v>0.96839586019123902</v>
      </c>
      <c r="G90">
        <v>82.688014496322097</v>
      </c>
      <c r="H90">
        <v>75.268230823724707</v>
      </c>
      <c r="I90" t="str">
        <f t="shared" si="3"/>
        <v>street</v>
      </c>
      <c r="J90">
        <v>411</v>
      </c>
      <c r="K90">
        <f t="shared" si="2"/>
        <v>90</v>
      </c>
    </row>
    <row r="91" spans="1:11" x14ac:dyDescent="0.2">
      <c r="A91" t="s">
        <v>97</v>
      </c>
      <c r="B91">
        <v>531.107421875</v>
      </c>
      <c r="C91">
        <v>11.438363972683799</v>
      </c>
      <c r="D91">
        <v>31.070483858632699</v>
      </c>
      <c r="E91">
        <v>37.418991222114897</v>
      </c>
      <c r="F91">
        <v>0.97042658734985199</v>
      </c>
      <c r="G91">
        <v>83.311665424708494</v>
      </c>
      <c r="H91">
        <v>76.310840552280794</v>
      </c>
      <c r="I91" t="str">
        <f t="shared" si="3"/>
        <v>street</v>
      </c>
      <c r="J91">
        <v>411</v>
      </c>
      <c r="K91">
        <f t="shared" si="2"/>
        <v>91</v>
      </c>
    </row>
    <row r="92" spans="1:11" x14ac:dyDescent="0.2">
      <c r="A92" t="s">
        <v>98</v>
      </c>
      <c r="B92">
        <v>559.53515625</v>
      </c>
      <c r="C92">
        <v>10.8572266320397</v>
      </c>
      <c r="D92">
        <v>31.176558466222801</v>
      </c>
      <c r="E92">
        <v>37.5250498420979</v>
      </c>
      <c r="F92">
        <v>0.97120264415403601</v>
      </c>
      <c r="G92">
        <v>83.5251977486963</v>
      </c>
      <c r="H92">
        <v>76.715154709625295</v>
      </c>
      <c r="I92" t="str">
        <f t="shared" si="3"/>
        <v>street</v>
      </c>
      <c r="J92">
        <v>411</v>
      </c>
      <c r="K92">
        <f t="shared" si="2"/>
        <v>92</v>
      </c>
    </row>
    <row r="93" spans="1:11" x14ac:dyDescent="0.2">
      <c r="A93" t="s">
        <v>99</v>
      </c>
      <c r="B93">
        <v>609.1953125</v>
      </c>
      <c r="C93">
        <v>9.9721712812752497</v>
      </c>
      <c r="D93">
        <v>31.553844072626202</v>
      </c>
      <c r="E93">
        <v>37.895592131466302</v>
      </c>
      <c r="F93">
        <v>0.97346947744106604</v>
      </c>
      <c r="G93">
        <v>84.269052364545402</v>
      </c>
      <c r="H93">
        <v>77.915084872746505</v>
      </c>
      <c r="I93" t="str">
        <f t="shared" si="3"/>
        <v>street</v>
      </c>
      <c r="J93">
        <v>411</v>
      </c>
      <c r="K93">
        <f t="shared" si="2"/>
        <v>93</v>
      </c>
    </row>
    <row r="94" spans="1:11" x14ac:dyDescent="0.2">
      <c r="A94" t="s">
        <v>100</v>
      </c>
      <c r="B94">
        <v>669.365234375</v>
      </c>
      <c r="C94">
        <v>9.0757626599360997</v>
      </c>
      <c r="D94">
        <v>31.866972741997099</v>
      </c>
      <c r="E94">
        <v>38.208855459099901</v>
      </c>
      <c r="F94">
        <v>0.975379046399657</v>
      </c>
      <c r="G94">
        <v>84.8956439247915</v>
      </c>
      <c r="H94">
        <v>78.948197425087798</v>
      </c>
      <c r="I94" t="str">
        <f t="shared" si="3"/>
        <v>street</v>
      </c>
      <c r="J94">
        <v>411</v>
      </c>
      <c r="K94">
        <f t="shared" si="2"/>
        <v>94</v>
      </c>
    </row>
    <row r="95" spans="1:11" x14ac:dyDescent="0.2">
      <c r="A95" t="s">
        <v>101</v>
      </c>
      <c r="B95">
        <v>746.40625</v>
      </c>
      <c r="C95">
        <v>8.1389993719907903</v>
      </c>
      <c r="D95">
        <v>31.8704575547929</v>
      </c>
      <c r="E95">
        <v>38.212113179625597</v>
      </c>
      <c r="F95">
        <v>0.97576548410033104</v>
      </c>
      <c r="G95">
        <v>84.902150429332906</v>
      </c>
      <c r="H95">
        <v>79.159789154579997</v>
      </c>
      <c r="I95" t="str">
        <f t="shared" si="3"/>
        <v>street</v>
      </c>
      <c r="J95">
        <v>411</v>
      </c>
      <c r="K95">
        <f t="shared" si="2"/>
        <v>95</v>
      </c>
    </row>
    <row r="96" spans="1:11" x14ac:dyDescent="0.2">
      <c r="A96" t="s">
        <v>102</v>
      </c>
      <c r="B96">
        <v>850.0908203125</v>
      </c>
      <c r="C96">
        <v>7.1462952602720504</v>
      </c>
      <c r="D96">
        <v>32.282576741841901</v>
      </c>
      <c r="E96">
        <v>38.631041145328297</v>
      </c>
      <c r="F96">
        <v>0.97828066701891403</v>
      </c>
      <c r="G96">
        <v>85.737420696730695</v>
      </c>
      <c r="H96">
        <v>80.558067025617206</v>
      </c>
      <c r="I96" t="str">
        <f t="shared" si="3"/>
        <v>street</v>
      </c>
      <c r="J96">
        <v>411</v>
      </c>
      <c r="K96">
        <f t="shared" si="2"/>
        <v>96</v>
      </c>
    </row>
    <row r="97" spans="1:11" x14ac:dyDescent="0.2">
      <c r="A97" t="s">
        <v>103</v>
      </c>
      <c r="B97">
        <v>952.44140625</v>
      </c>
      <c r="C97">
        <v>6.3783451245770504</v>
      </c>
      <c r="D97">
        <v>32.847854808326296</v>
      </c>
      <c r="E97">
        <v>39.196597122328903</v>
      </c>
      <c r="F97">
        <v>0.98155904581111397</v>
      </c>
      <c r="G97">
        <v>86.861269534968201</v>
      </c>
      <c r="H97">
        <v>82.436789726500095</v>
      </c>
      <c r="I97" t="str">
        <f t="shared" si="3"/>
        <v>street</v>
      </c>
      <c r="J97">
        <v>411</v>
      </c>
      <c r="K97">
        <f t="shared" si="2"/>
        <v>97</v>
      </c>
    </row>
    <row r="98" spans="1:11" x14ac:dyDescent="0.2">
      <c r="A98" t="s">
        <v>104</v>
      </c>
      <c r="B98">
        <v>1130.8544921875</v>
      </c>
      <c r="C98">
        <v>5.3720439207423203</v>
      </c>
      <c r="D98">
        <v>32.737161817432302</v>
      </c>
      <c r="E98">
        <v>39.085559008487103</v>
      </c>
      <c r="F98">
        <v>0.98111000058303799</v>
      </c>
      <c r="G98">
        <v>86.640908141073893</v>
      </c>
      <c r="H98">
        <v>82.175628991380805</v>
      </c>
      <c r="I98" t="str">
        <f t="shared" si="3"/>
        <v>street</v>
      </c>
      <c r="J98">
        <v>411</v>
      </c>
      <c r="K98">
        <f t="shared" si="2"/>
        <v>98</v>
      </c>
    </row>
    <row r="99" spans="1:11" x14ac:dyDescent="0.2">
      <c r="A99" t="s">
        <v>105</v>
      </c>
      <c r="B99">
        <v>1432.099609375</v>
      </c>
      <c r="C99">
        <v>4.2420233622235699</v>
      </c>
      <c r="D99">
        <v>32.7083698754913</v>
      </c>
      <c r="E99">
        <v>39.056566447001103</v>
      </c>
      <c r="F99">
        <v>0.97916355920588904</v>
      </c>
      <c r="G99">
        <v>86.583349376784199</v>
      </c>
      <c r="H99">
        <v>81.057691760444399</v>
      </c>
      <c r="I99" t="str">
        <f t="shared" si="3"/>
        <v>street</v>
      </c>
      <c r="J99">
        <v>411</v>
      </c>
      <c r="K99">
        <f t="shared" si="2"/>
        <v>99</v>
      </c>
    </row>
    <row r="100" spans="1:11" x14ac:dyDescent="0.2">
      <c r="A100" t="s">
        <v>106</v>
      </c>
      <c r="B100">
        <v>1562.380859375</v>
      </c>
      <c r="C100">
        <v>3.8882964826067998</v>
      </c>
      <c r="D100">
        <v>33.437960517419199</v>
      </c>
      <c r="E100">
        <v>39.7869476967943</v>
      </c>
      <c r="F100">
        <v>0.98548182373697601</v>
      </c>
      <c r="G100">
        <v>88.030946091130602</v>
      </c>
      <c r="H100">
        <v>84.771272941923399</v>
      </c>
      <c r="I100" t="str">
        <f t="shared" si="3"/>
        <v>street</v>
      </c>
      <c r="J100">
        <v>411</v>
      </c>
      <c r="K100">
        <f t="shared" si="2"/>
        <v>100</v>
      </c>
    </row>
    <row r="101" spans="1:11" x14ac:dyDescent="0.2">
      <c r="A101" t="s">
        <v>107</v>
      </c>
      <c r="B101">
        <v>274.326171875</v>
      </c>
      <c r="C101">
        <v>22.145171051226399</v>
      </c>
      <c r="D101">
        <v>36.544211601495299</v>
      </c>
      <c r="E101">
        <v>41.211372952513699</v>
      </c>
      <c r="F101">
        <v>0.98289626210984404</v>
      </c>
      <c r="G101">
        <v>90.844136902030101</v>
      </c>
      <c r="H101">
        <v>83.221820872743606</v>
      </c>
      <c r="I101" t="str">
        <f t="shared" si="3"/>
        <v>wedding</v>
      </c>
      <c r="J101">
        <v>411</v>
      </c>
      <c r="K101">
        <f t="shared" si="2"/>
        <v>90</v>
      </c>
    </row>
    <row r="102" spans="1:11" x14ac:dyDescent="0.2">
      <c r="A102" t="s">
        <v>108</v>
      </c>
      <c r="B102">
        <v>294.46875</v>
      </c>
      <c r="C102">
        <v>20.630372492836699</v>
      </c>
      <c r="D102">
        <v>36.787040470523998</v>
      </c>
      <c r="E102">
        <v>41.454435752136703</v>
      </c>
      <c r="F102">
        <v>0.98385506948889501</v>
      </c>
      <c r="G102">
        <v>91.323347729542405</v>
      </c>
      <c r="H102">
        <v>83.791512797492302</v>
      </c>
      <c r="I102" t="str">
        <f t="shared" si="3"/>
        <v>wedding</v>
      </c>
      <c r="J102">
        <v>411</v>
      </c>
      <c r="K102">
        <f t="shared" si="2"/>
        <v>91</v>
      </c>
    </row>
    <row r="103" spans="1:11" x14ac:dyDescent="0.2">
      <c r="A103" t="s">
        <v>109</v>
      </c>
      <c r="B103">
        <v>311.5947265625</v>
      </c>
      <c r="C103">
        <v>19.496478862203901</v>
      </c>
      <c r="D103">
        <v>36.874212055127998</v>
      </c>
      <c r="E103">
        <v>41.541637165403003</v>
      </c>
      <c r="F103">
        <v>0.98440839027592397</v>
      </c>
      <c r="G103">
        <v>91.495228434758801</v>
      </c>
      <c r="H103">
        <v>84.122892865802896</v>
      </c>
      <c r="I103" t="str">
        <f t="shared" si="3"/>
        <v>wedding</v>
      </c>
      <c r="J103">
        <v>411</v>
      </c>
      <c r="K103">
        <f t="shared" si="2"/>
        <v>92</v>
      </c>
    </row>
    <row r="104" spans="1:11" x14ac:dyDescent="0.2">
      <c r="A104" t="s">
        <v>110</v>
      </c>
      <c r="B104">
        <v>348.4609375</v>
      </c>
      <c r="C104">
        <v>17.433804901015598</v>
      </c>
      <c r="D104">
        <v>37.247158446212701</v>
      </c>
      <c r="E104">
        <v>41.9090879445166</v>
      </c>
      <c r="F104">
        <v>0.98549889858704498</v>
      </c>
      <c r="G104">
        <v>92.219291821733904</v>
      </c>
      <c r="H104">
        <v>84.781645646989304</v>
      </c>
      <c r="I104" t="str">
        <f t="shared" si="3"/>
        <v>wedding</v>
      </c>
      <c r="J104">
        <v>411</v>
      </c>
      <c r="K104">
        <f t="shared" si="2"/>
        <v>93</v>
      </c>
    </row>
    <row r="105" spans="1:11" x14ac:dyDescent="0.2">
      <c r="A105" t="s">
        <v>111</v>
      </c>
      <c r="B105">
        <v>390.083984375</v>
      </c>
      <c r="C105">
        <v>15.5735693936101</v>
      </c>
      <c r="D105">
        <v>37.511819641311597</v>
      </c>
      <c r="E105">
        <v>42.173774239771298</v>
      </c>
      <c r="F105">
        <v>0.98645479144701997</v>
      </c>
      <c r="G105">
        <v>92.740673260604396</v>
      </c>
      <c r="H105">
        <v>85.365308025262706</v>
      </c>
      <c r="I105" t="str">
        <f t="shared" si="3"/>
        <v>wedding</v>
      </c>
      <c r="J105">
        <v>411</v>
      </c>
      <c r="K105">
        <f t="shared" si="2"/>
        <v>94</v>
      </c>
    </row>
    <row r="106" spans="1:11" x14ac:dyDescent="0.2">
      <c r="A106" t="s">
        <v>112</v>
      </c>
      <c r="B106">
        <v>445.0751953125</v>
      </c>
      <c r="C106">
        <v>13.649378945359</v>
      </c>
      <c r="D106">
        <v>37.539922003030398</v>
      </c>
      <c r="E106">
        <v>42.202094894877099</v>
      </c>
      <c r="F106">
        <v>0.98681246147371304</v>
      </c>
      <c r="G106">
        <v>92.796451502894499</v>
      </c>
      <c r="H106">
        <v>85.5852078004405</v>
      </c>
      <c r="I106" t="str">
        <f t="shared" si="3"/>
        <v>wedding</v>
      </c>
      <c r="J106">
        <v>411</v>
      </c>
      <c r="K106">
        <f t="shared" si="2"/>
        <v>95</v>
      </c>
    </row>
    <row r="107" spans="1:11" x14ac:dyDescent="0.2">
      <c r="A107" t="s">
        <v>113</v>
      </c>
      <c r="B107">
        <v>523.2177734375</v>
      </c>
      <c r="C107">
        <v>11.610844104334801</v>
      </c>
      <c r="D107">
        <v>37.870751224635598</v>
      </c>
      <c r="E107">
        <v>42.538628951926199</v>
      </c>
      <c r="F107">
        <v>0.98820815779353899</v>
      </c>
      <c r="G107">
        <v>93.459158197327099</v>
      </c>
      <c r="H107">
        <v>86.451232378042505</v>
      </c>
      <c r="I107" t="str">
        <f t="shared" si="3"/>
        <v>wedding</v>
      </c>
      <c r="J107">
        <v>411</v>
      </c>
      <c r="K107">
        <f t="shared" si="2"/>
        <v>96</v>
      </c>
    </row>
    <row r="108" spans="1:11" x14ac:dyDescent="0.2">
      <c r="A108" t="s">
        <v>114</v>
      </c>
      <c r="B108">
        <v>603.1826171875</v>
      </c>
      <c r="C108">
        <v>10.071576711421701</v>
      </c>
      <c r="D108">
        <v>38.415465400260601</v>
      </c>
      <c r="E108">
        <v>43.083587891966701</v>
      </c>
      <c r="F108">
        <v>0.98987233695005805</v>
      </c>
      <c r="G108">
        <v>94.531948464504197</v>
      </c>
      <c r="H108">
        <v>87.500560207620097</v>
      </c>
      <c r="I108" t="str">
        <f t="shared" si="3"/>
        <v>wedding</v>
      </c>
      <c r="J108">
        <v>411</v>
      </c>
      <c r="K108">
        <f t="shared" si="2"/>
        <v>97</v>
      </c>
    </row>
    <row r="109" spans="1:11" x14ac:dyDescent="0.2">
      <c r="A109" t="s">
        <v>115</v>
      </c>
      <c r="B109">
        <v>749.5771484375</v>
      </c>
      <c r="C109">
        <v>8.1045693730970694</v>
      </c>
      <c r="D109">
        <v>38.376770405846202</v>
      </c>
      <c r="E109">
        <v>43.044657485810902</v>
      </c>
      <c r="F109">
        <v>0.98981783287251801</v>
      </c>
      <c r="G109">
        <v>94.455323369590104</v>
      </c>
      <c r="H109">
        <v>87.465902343939206</v>
      </c>
      <c r="I109" t="str">
        <f t="shared" si="3"/>
        <v>wedding</v>
      </c>
      <c r="J109">
        <v>411</v>
      </c>
      <c r="K109">
        <f t="shared" si="2"/>
        <v>98</v>
      </c>
    </row>
    <row r="110" spans="1:11" x14ac:dyDescent="0.2">
      <c r="A110" t="s">
        <v>116</v>
      </c>
      <c r="B110">
        <v>1029.322265625</v>
      </c>
      <c r="C110">
        <v>5.9019416978328803</v>
      </c>
      <c r="D110">
        <v>37.711644071050301</v>
      </c>
      <c r="E110">
        <v>42.378038658305002</v>
      </c>
      <c r="F110">
        <v>0.98499764431194003</v>
      </c>
      <c r="G110">
        <v>93.142945330718604</v>
      </c>
      <c r="H110">
        <v>84.477913128175501</v>
      </c>
      <c r="I110" t="str">
        <f t="shared" si="3"/>
        <v>wedding</v>
      </c>
      <c r="J110">
        <v>411</v>
      </c>
      <c r="K110">
        <f t="shared" si="2"/>
        <v>99</v>
      </c>
    </row>
    <row r="111" spans="1:11" x14ac:dyDescent="0.2">
      <c r="A111" t="s">
        <v>117</v>
      </c>
      <c r="B111">
        <v>1117.966796875</v>
      </c>
      <c r="C111">
        <v>5.4339717574628903</v>
      </c>
      <c r="D111">
        <v>39.113637014049203</v>
      </c>
      <c r="E111">
        <v>43.781385522352998</v>
      </c>
      <c r="F111">
        <v>0.99161916083506496</v>
      </c>
      <c r="G111">
        <v>95.905143134369595</v>
      </c>
      <c r="H111">
        <v>88.621887290160203</v>
      </c>
      <c r="I111" t="str">
        <f t="shared" si="3"/>
        <v>wedding</v>
      </c>
      <c r="J111">
        <v>411</v>
      </c>
      <c r="K111">
        <f t="shared" si="2"/>
        <v>100</v>
      </c>
    </row>
    <row r="112" spans="1:11" x14ac:dyDescent="0.2">
      <c r="A112" t="s">
        <v>8</v>
      </c>
      <c r="B112">
        <v>540.2490234375</v>
      </c>
      <c r="C112">
        <v>11.2448144030802</v>
      </c>
      <c r="D112">
        <v>29.9064928769392</v>
      </c>
      <c r="E112">
        <v>37.4791412194297</v>
      </c>
      <c r="F112">
        <v>0.98205713503436598</v>
      </c>
      <c r="G112">
        <v>83.432804663451904</v>
      </c>
      <c r="H112">
        <v>82.727915000363097</v>
      </c>
      <c r="I112" t="str">
        <f t="shared" si="3"/>
        <v>bar</v>
      </c>
      <c r="J112">
        <v>422</v>
      </c>
      <c r="K112">
        <f t="shared" si="2"/>
        <v>90</v>
      </c>
    </row>
    <row r="113" spans="1:11" x14ac:dyDescent="0.2">
      <c r="A113" t="s">
        <v>9</v>
      </c>
      <c r="B113">
        <v>581.18359375</v>
      </c>
      <c r="C113">
        <v>10.452807108339</v>
      </c>
      <c r="D113">
        <v>30.1491437853322</v>
      </c>
      <c r="E113">
        <v>37.7216521985859</v>
      </c>
      <c r="F113">
        <v>0.98303671885926702</v>
      </c>
      <c r="G113">
        <v>83.920269628946599</v>
      </c>
      <c r="H113">
        <v>83.304918181047199</v>
      </c>
      <c r="I113" t="str">
        <f t="shared" si="3"/>
        <v>bar</v>
      </c>
      <c r="J113">
        <v>422</v>
      </c>
      <c r="K113">
        <f t="shared" si="2"/>
        <v>91</v>
      </c>
    </row>
    <row r="114" spans="1:11" x14ac:dyDescent="0.2">
      <c r="A114" t="s">
        <v>10</v>
      </c>
      <c r="B114">
        <v>619.771484375</v>
      </c>
      <c r="C114">
        <v>9.8019998550373</v>
      </c>
      <c r="D114">
        <v>30.4102020316259</v>
      </c>
      <c r="E114">
        <v>37.9824381930909</v>
      </c>
      <c r="F114">
        <v>0.98385491121994095</v>
      </c>
      <c r="G114">
        <v>84.442953821249503</v>
      </c>
      <c r="H114">
        <v>83.791418286003605</v>
      </c>
      <c r="I114" t="str">
        <f t="shared" si="3"/>
        <v>bar</v>
      </c>
      <c r="J114">
        <v>422</v>
      </c>
      <c r="K114">
        <f t="shared" si="2"/>
        <v>92</v>
      </c>
    </row>
    <row r="115" spans="1:11" x14ac:dyDescent="0.2">
      <c r="A115" t="s">
        <v>11</v>
      </c>
      <c r="B115">
        <v>681.3896484375</v>
      </c>
      <c r="C115">
        <v>8.9156035961665001</v>
      </c>
      <c r="D115">
        <v>30.7922585767279</v>
      </c>
      <c r="E115">
        <v>38.357237169161301</v>
      </c>
      <c r="F115">
        <v>0.98510927016928695</v>
      </c>
      <c r="G115">
        <v>85.191816410803</v>
      </c>
      <c r="H115">
        <v>84.545414159653504</v>
      </c>
      <c r="I115" t="str">
        <f t="shared" si="3"/>
        <v>bar</v>
      </c>
      <c r="J115">
        <v>422</v>
      </c>
      <c r="K115">
        <f t="shared" si="2"/>
        <v>93</v>
      </c>
    </row>
    <row r="116" spans="1:11" x14ac:dyDescent="0.2">
      <c r="A116" t="s">
        <v>12</v>
      </c>
      <c r="B116">
        <v>759.9296875</v>
      </c>
      <c r="C116">
        <v>7.99416064397405</v>
      </c>
      <c r="D116">
        <v>31.235010074918399</v>
      </c>
      <c r="E116">
        <v>38.8000120051232</v>
      </c>
      <c r="F116">
        <v>0.98658981885716801</v>
      </c>
      <c r="G116">
        <v>86.073597084612203</v>
      </c>
      <c r="H116">
        <v>85.448227570932701</v>
      </c>
      <c r="I116" t="str">
        <f t="shared" si="3"/>
        <v>bar</v>
      </c>
      <c r="J116">
        <v>422</v>
      </c>
      <c r="K116">
        <f t="shared" si="2"/>
        <v>94</v>
      </c>
    </row>
    <row r="117" spans="1:11" x14ac:dyDescent="0.2">
      <c r="A117" t="s">
        <v>13</v>
      </c>
      <c r="B117">
        <v>855.2880859375</v>
      </c>
      <c r="C117">
        <v>7.1028698983232799</v>
      </c>
      <c r="D117">
        <v>31.730230386107301</v>
      </c>
      <c r="E117">
        <v>39.2949070700354</v>
      </c>
      <c r="F117">
        <v>0.98797760445854799</v>
      </c>
      <c r="G117">
        <v>87.056267478284099</v>
      </c>
      <c r="H117">
        <v>86.3072992327441</v>
      </c>
      <c r="I117" t="str">
        <f t="shared" si="3"/>
        <v>bar</v>
      </c>
      <c r="J117">
        <v>422</v>
      </c>
      <c r="K117">
        <f t="shared" si="2"/>
        <v>95</v>
      </c>
    </row>
    <row r="118" spans="1:11" x14ac:dyDescent="0.2">
      <c r="A118" t="s">
        <v>14</v>
      </c>
      <c r="B118">
        <v>982.2314453125</v>
      </c>
      <c r="C118">
        <v>6.1848966748027703</v>
      </c>
      <c r="D118">
        <v>32.398692679833601</v>
      </c>
      <c r="E118">
        <v>39.970365334703899</v>
      </c>
      <c r="F118">
        <v>0.99007015250326502</v>
      </c>
      <c r="G118">
        <v>88.393802650837898</v>
      </c>
      <c r="H118">
        <v>87.626513110754303</v>
      </c>
      <c r="I118" t="str">
        <f t="shared" si="3"/>
        <v>bar</v>
      </c>
      <c r="J118">
        <v>422</v>
      </c>
      <c r="K118">
        <f t="shared" si="2"/>
        <v>96</v>
      </c>
    </row>
    <row r="119" spans="1:11" x14ac:dyDescent="0.2">
      <c r="A119" t="s">
        <v>15</v>
      </c>
      <c r="B119">
        <v>1093.7802734375</v>
      </c>
      <c r="C119">
        <v>5.5541319838468803</v>
      </c>
      <c r="D119">
        <v>33.173004660174797</v>
      </c>
      <c r="E119">
        <v>40.744769961064002</v>
      </c>
      <c r="F119">
        <v>0.99224242521627604</v>
      </c>
      <c r="G119">
        <v>89.923650297916197</v>
      </c>
      <c r="H119">
        <v>89.026976647730393</v>
      </c>
      <c r="I119" t="str">
        <f t="shared" si="3"/>
        <v>bar</v>
      </c>
      <c r="J119">
        <v>422</v>
      </c>
      <c r="K119">
        <f t="shared" si="2"/>
        <v>97</v>
      </c>
    </row>
    <row r="120" spans="1:11" x14ac:dyDescent="0.2">
      <c r="A120" t="s">
        <v>16</v>
      </c>
      <c r="B120">
        <v>1283.0498046875</v>
      </c>
      <c r="C120">
        <v>4.7348123025353903</v>
      </c>
      <c r="D120">
        <v>33.8353887378805</v>
      </c>
      <c r="E120">
        <v>41.407337121278303</v>
      </c>
      <c r="F120">
        <v>0.99375228445764796</v>
      </c>
      <c r="G120">
        <v>91.230503949308599</v>
      </c>
      <c r="H120">
        <v>90.019361026175403</v>
      </c>
      <c r="I120" t="str">
        <f t="shared" si="3"/>
        <v>bar</v>
      </c>
      <c r="J120">
        <v>422</v>
      </c>
      <c r="K120">
        <f t="shared" si="2"/>
        <v>98</v>
      </c>
    </row>
    <row r="121" spans="1:11" x14ac:dyDescent="0.2">
      <c r="A121" t="s">
        <v>17</v>
      </c>
      <c r="B121">
        <v>1705.7265625</v>
      </c>
      <c r="C121">
        <v>3.5615321550109198</v>
      </c>
      <c r="D121">
        <v>33.988968763051602</v>
      </c>
      <c r="E121">
        <v>41.5613954601411</v>
      </c>
      <c r="F121">
        <v>0.99338494339836803</v>
      </c>
      <c r="G121">
        <v>91.534170717264303</v>
      </c>
      <c r="H121">
        <v>89.776469461382206</v>
      </c>
      <c r="I121" t="str">
        <f t="shared" si="3"/>
        <v>bar</v>
      </c>
      <c r="J121">
        <v>422</v>
      </c>
      <c r="K121">
        <f t="shared" si="2"/>
        <v>99</v>
      </c>
    </row>
    <row r="122" spans="1:11" x14ac:dyDescent="0.2">
      <c r="A122" t="s">
        <v>18</v>
      </c>
      <c r="B122">
        <v>1876.16015625</v>
      </c>
      <c r="C122">
        <v>3.2379964896720201</v>
      </c>
      <c r="D122">
        <v>34.933986253891497</v>
      </c>
      <c r="E122">
        <v>42.506881816343402</v>
      </c>
      <c r="F122">
        <v>0.99579875651215999</v>
      </c>
      <c r="G122">
        <v>93.396649187009899</v>
      </c>
      <c r="H122">
        <v>91.389795268042704</v>
      </c>
      <c r="I122" t="str">
        <f t="shared" si="3"/>
        <v>bar</v>
      </c>
      <c r="J122">
        <v>422</v>
      </c>
      <c r="K122">
        <f t="shared" si="2"/>
        <v>100</v>
      </c>
    </row>
    <row r="123" spans="1:11" x14ac:dyDescent="0.2">
      <c r="A123" t="s">
        <v>19</v>
      </c>
      <c r="B123">
        <v>615.4326171875</v>
      </c>
      <c r="C123">
        <v>9.8711050248888093</v>
      </c>
      <c r="D123">
        <v>32.190454739319499</v>
      </c>
      <c r="E123">
        <v>37.522880885840699</v>
      </c>
      <c r="F123">
        <v>0.97864228163559497</v>
      </c>
      <c r="G123">
        <v>83.520833866877993</v>
      </c>
      <c r="H123">
        <v>80.762144857046195</v>
      </c>
      <c r="I123" t="str">
        <f t="shared" si="3"/>
        <v>building</v>
      </c>
      <c r="J123">
        <v>422</v>
      </c>
      <c r="K123">
        <f t="shared" si="2"/>
        <v>90</v>
      </c>
    </row>
    <row r="124" spans="1:11" x14ac:dyDescent="0.2">
      <c r="A124" t="s">
        <v>20</v>
      </c>
      <c r="B124">
        <v>646.9052734375</v>
      </c>
      <c r="C124">
        <v>9.3908648598872908</v>
      </c>
      <c r="D124">
        <v>32.533568973226899</v>
      </c>
      <c r="E124">
        <v>37.8660473060839</v>
      </c>
      <c r="F124">
        <v>0.98006457052820595</v>
      </c>
      <c r="G124">
        <v>84.209855831784594</v>
      </c>
      <c r="H124">
        <v>81.572354548612296</v>
      </c>
      <c r="I124" t="str">
        <f t="shared" si="3"/>
        <v>building</v>
      </c>
      <c r="J124">
        <v>422</v>
      </c>
      <c r="K124">
        <f t="shared" si="2"/>
        <v>91</v>
      </c>
    </row>
    <row r="125" spans="1:11" x14ac:dyDescent="0.2">
      <c r="A125" t="s">
        <v>21</v>
      </c>
      <c r="B125">
        <v>681.376953125</v>
      </c>
      <c r="C125">
        <v>8.9157697103464102</v>
      </c>
      <c r="D125">
        <v>32.928156792956599</v>
      </c>
      <c r="E125">
        <v>38.260765846208002</v>
      </c>
      <c r="F125">
        <v>0.98109270620990296</v>
      </c>
      <c r="G125">
        <v>84.999300339753404</v>
      </c>
      <c r="H125">
        <v>82.165595286847704</v>
      </c>
      <c r="I125" t="str">
        <f t="shared" si="3"/>
        <v>building</v>
      </c>
      <c r="J125">
        <v>422</v>
      </c>
      <c r="K125">
        <f t="shared" si="2"/>
        <v>92</v>
      </c>
    </row>
    <row r="126" spans="1:11" x14ac:dyDescent="0.2">
      <c r="A126" t="s">
        <v>22</v>
      </c>
      <c r="B126">
        <v>738.7138671875</v>
      </c>
      <c r="C126">
        <v>8.2237524836636702</v>
      </c>
      <c r="D126">
        <v>33.4177597562757</v>
      </c>
      <c r="E126">
        <v>38.744998026611398</v>
      </c>
      <c r="F126">
        <v>0.98268522004950498</v>
      </c>
      <c r="G126">
        <v>85.964185030879406</v>
      </c>
      <c r="H126">
        <v>83.097193492723605</v>
      </c>
      <c r="I126" t="str">
        <f t="shared" si="3"/>
        <v>building</v>
      </c>
      <c r="J126">
        <v>422</v>
      </c>
      <c r="K126">
        <f t="shared" si="2"/>
        <v>93</v>
      </c>
    </row>
    <row r="127" spans="1:11" x14ac:dyDescent="0.2">
      <c r="A127" t="s">
        <v>23</v>
      </c>
      <c r="B127">
        <v>807.923828125</v>
      </c>
      <c r="C127">
        <v>7.5192732142813998</v>
      </c>
      <c r="D127">
        <v>33.9367104913362</v>
      </c>
      <c r="E127">
        <v>39.264206116420503</v>
      </c>
      <c r="F127">
        <v>0.984252213881188</v>
      </c>
      <c r="G127">
        <v>86.995382194112395</v>
      </c>
      <c r="H127">
        <v>84.029165093545103</v>
      </c>
      <c r="I127" t="str">
        <f t="shared" si="3"/>
        <v>building</v>
      </c>
      <c r="J127">
        <v>422</v>
      </c>
      <c r="K127">
        <f t="shared" si="2"/>
        <v>94</v>
      </c>
    </row>
    <row r="128" spans="1:11" x14ac:dyDescent="0.2">
      <c r="A128" t="s">
        <v>24</v>
      </c>
      <c r="B128">
        <v>901.236328125</v>
      </c>
      <c r="C128">
        <v>6.74074025914922</v>
      </c>
      <c r="D128">
        <v>34.4877728718428</v>
      </c>
      <c r="E128">
        <v>39.815307969742399</v>
      </c>
      <c r="F128">
        <v>0.98542737994002205</v>
      </c>
      <c r="G128">
        <v>88.0870666340724</v>
      </c>
      <c r="H128">
        <v>84.738211583288404</v>
      </c>
      <c r="I128" t="str">
        <f t="shared" si="3"/>
        <v>building</v>
      </c>
      <c r="J128">
        <v>422</v>
      </c>
      <c r="K128">
        <f t="shared" si="2"/>
        <v>95</v>
      </c>
    </row>
    <row r="129" spans="1:11" x14ac:dyDescent="0.2">
      <c r="A129" t="s">
        <v>25</v>
      </c>
      <c r="B129">
        <v>1020.859375</v>
      </c>
      <c r="C129">
        <v>5.9508686002908098</v>
      </c>
      <c r="D129">
        <v>35.111889526377901</v>
      </c>
      <c r="E129">
        <v>40.445201791871703</v>
      </c>
      <c r="F129">
        <v>0.98723295143888701</v>
      </c>
      <c r="G129">
        <v>89.332214244718003</v>
      </c>
      <c r="H129">
        <v>85.844787187988203</v>
      </c>
      <c r="I129" t="str">
        <f t="shared" si="3"/>
        <v>building</v>
      </c>
      <c r="J129">
        <v>422</v>
      </c>
      <c r="K129">
        <f t="shared" si="2"/>
        <v>96</v>
      </c>
    </row>
    <row r="130" spans="1:11" x14ac:dyDescent="0.2">
      <c r="A130" t="s">
        <v>26</v>
      </c>
      <c r="B130">
        <v>1133.89453125</v>
      </c>
      <c r="C130">
        <v>5.3576411496605001</v>
      </c>
      <c r="D130">
        <v>35.795001662692002</v>
      </c>
      <c r="E130">
        <v>41.128394658403799</v>
      </c>
      <c r="F130">
        <v>0.98908196221408695</v>
      </c>
      <c r="G130">
        <v>90.680498890396507</v>
      </c>
      <c r="H130">
        <v>86.999914436828206</v>
      </c>
      <c r="I130" t="str">
        <f t="shared" si="3"/>
        <v>building</v>
      </c>
      <c r="J130">
        <v>422</v>
      </c>
      <c r="K130">
        <f t="shared" ref="K130:K193" si="4">(MID(A130,FIND("gimp",A130)+4,FIND(".",A130)-FIND("gimp",A130)-4))+0</f>
        <v>97</v>
      </c>
    </row>
    <row r="131" spans="1:11" x14ac:dyDescent="0.2">
      <c r="A131" t="s">
        <v>27</v>
      </c>
      <c r="B131">
        <v>1347.9541015625</v>
      </c>
      <c r="C131">
        <v>4.5068300122074501</v>
      </c>
      <c r="D131">
        <v>36.313885877958498</v>
      </c>
      <c r="E131">
        <v>41.647506295132203</v>
      </c>
      <c r="F131">
        <v>0.98960842997761</v>
      </c>
      <c r="G131">
        <v>91.703877629326001</v>
      </c>
      <c r="H131">
        <v>87.332932154349507</v>
      </c>
      <c r="I131" t="str">
        <f t="shared" ref="I131:I194" si="5">LEFT(A131,FIND("/",A131)-1)</f>
        <v>building</v>
      </c>
      <c r="J131">
        <v>422</v>
      </c>
      <c r="K131">
        <f t="shared" si="4"/>
        <v>98</v>
      </c>
    </row>
    <row r="132" spans="1:11" x14ac:dyDescent="0.2">
      <c r="A132" t="s">
        <v>28</v>
      </c>
      <c r="B132">
        <v>1781.2900390625</v>
      </c>
      <c r="C132">
        <v>3.4104496554627901</v>
      </c>
      <c r="D132">
        <v>36.494972990256002</v>
      </c>
      <c r="E132">
        <v>41.828342673178902</v>
      </c>
      <c r="F132">
        <v>0.98842479012351803</v>
      </c>
      <c r="G132">
        <v>92.060210053927094</v>
      </c>
      <c r="H132">
        <v>86.586792301450302</v>
      </c>
      <c r="I132" t="str">
        <f t="shared" si="5"/>
        <v>building</v>
      </c>
      <c r="J132">
        <v>422</v>
      </c>
      <c r="K132">
        <f t="shared" si="4"/>
        <v>99</v>
      </c>
    </row>
    <row r="133" spans="1:11" x14ac:dyDescent="0.2">
      <c r="A133" t="s">
        <v>29</v>
      </c>
      <c r="B133">
        <v>1965.42578125</v>
      </c>
      <c r="C133">
        <v>3.0909333020636001</v>
      </c>
      <c r="D133">
        <v>37.500523551954402</v>
      </c>
      <c r="E133">
        <v>42.8344724047383</v>
      </c>
      <c r="F133">
        <v>0.992448259560051</v>
      </c>
      <c r="G133">
        <v>94.041594329860203</v>
      </c>
      <c r="H133">
        <v>89.161341304687795</v>
      </c>
      <c r="I133" t="str">
        <f t="shared" si="5"/>
        <v>building</v>
      </c>
      <c r="J133">
        <v>422</v>
      </c>
      <c r="K133">
        <f t="shared" si="4"/>
        <v>100</v>
      </c>
    </row>
    <row r="134" spans="1:11" x14ac:dyDescent="0.2">
      <c r="A134" t="s">
        <v>30</v>
      </c>
      <c r="B134">
        <v>255.1103515625</v>
      </c>
      <c r="C134">
        <v>23.813224209805</v>
      </c>
      <c r="D134">
        <v>31.041972998381802</v>
      </c>
      <c r="E134">
        <v>41.537677852036602</v>
      </c>
      <c r="F134">
        <v>0.98913551045036596</v>
      </c>
      <c r="G134">
        <v>91.487424767745097</v>
      </c>
      <c r="H134">
        <v>87.033702458829794</v>
      </c>
      <c r="I134" t="str">
        <f t="shared" si="5"/>
        <v>character</v>
      </c>
      <c r="J134">
        <v>422</v>
      </c>
      <c r="K134">
        <f t="shared" si="4"/>
        <v>90</v>
      </c>
    </row>
    <row r="135" spans="1:11" x14ac:dyDescent="0.2">
      <c r="A135" t="s">
        <v>31</v>
      </c>
      <c r="B135">
        <v>279.611328125</v>
      </c>
      <c r="C135">
        <v>21.726587548284801</v>
      </c>
      <c r="D135">
        <v>31.217713467693098</v>
      </c>
      <c r="E135">
        <v>41.713516021799997</v>
      </c>
      <c r="F135">
        <v>0.98942475008384601</v>
      </c>
      <c r="G135">
        <v>91.833956763942197</v>
      </c>
      <c r="H135">
        <v>87.216536264734302</v>
      </c>
      <c r="I135" t="str">
        <f t="shared" si="5"/>
        <v>character</v>
      </c>
      <c r="J135">
        <v>422</v>
      </c>
      <c r="K135">
        <f t="shared" si="4"/>
        <v>91</v>
      </c>
    </row>
    <row r="136" spans="1:11" x14ac:dyDescent="0.2">
      <c r="A136" t="s">
        <v>32</v>
      </c>
      <c r="B136">
        <v>298.6708984375</v>
      </c>
      <c r="C136">
        <v>20.340113589175999</v>
      </c>
      <c r="D136">
        <v>31.3652083256897</v>
      </c>
      <c r="E136">
        <v>41.8608455703882</v>
      </c>
      <c r="F136">
        <v>0.98956156199272505</v>
      </c>
      <c r="G136">
        <v>92.1242479582275</v>
      </c>
      <c r="H136">
        <v>87.303211118678703</v>
      </c>
      <c r="I136" t="str">
        <f t="shared" si="5"/>
        <v>character</v>
      </c>
      <c r="J136">
        <v>422</v>
      </c>
      <c r="K136">
        <f t="shared" si="4"/>
        <v>92</v>
      </c>
    </row>
    <row r="137" spans="1:11" x14ac:dyDescent="0.2">
      <c r="A137" t="s">
        <v>33</v>
      </c>
      <c r="B137">
        <v>339.6396484375</v>
      </c>
      <c r="C137">
        <v>17.886604311209901</v>
      </c>
      <c r="D137">
        <v>31.6313369164479</v>
      </c>
      <c r="E137">
        <v>42.1183066237624</v>
      </c>
      <c r="F137">
        <v>0.98997094953226294</v>
      </c>
      <c r="G137">
        <v>92.631424072343805</v>
      </c>
      <c r="H137">
        <v>87.563316025869</v>
      </c>
      <c r="I137" t="str">
        <f t="shared" si="5"/>
        <v>character</v>
      </c>
      <c r="J137">
        <v>422</v>
      </c>
      <c r="K137">
        <f t="shared" si="4"/>
        <v>93</v>
      </c>
    </row>
    <row r="138" spans="1:11" x14ac:dyDescent="0.2">
      <c r="A138" t="s">
        <v>34</v>
      </c>
      <c r="B138">
        <v>387.642578125</v>
      </c>
      <c r="C138">
        <v>15.6716530711986</v>
      </c>
      <c r="D138">
        <v>31.916313005334999</v>
      </c>
      <c r="E138">
        <v>42.403420403575502</v>
      </c>
      <c r="F138">
        <v>0.99031127921641404</v>
      </c>
      <c r="G138">
        <v>93.192926389349793</v>
      </c>
      <c r="H138">
        <v>87.7803970182499</v>
      </c>
      <c r="I138" t="str">
        <f t="shared" si="5"/>
        <v>character</v>
      </c>
      <c r="J138">
        <v>422</v>
      </c>
      <c r="K138">
        <f t="shared" si="4"/>
        <v>94</v>
      </c>
    </row>
    <row r="139" spans="1:11" x14ac:dyDescent="0.2">
      <c r="A139" t="s">
        <v>35</v>
      </c>
      <c r="B139">
        <v>453.806640625</v>
      </c>
      <c r="C139">
        <v>13.386758712109801</v>
      </c>
      <c r="D139">
        <v>32.191364529643899</v>
      </c>
      <c r="E139">
        <v>42.678559541686603</v>
      </c>
      <c r="F139">
        <v>0.99050521998471197</v>
      </c>
      <c r="G139">
        <v>93.734658979601093</v>
      </c>
      <c r="H139">
        <v>87.904450294227004</v>
      </c>
      <c r="I139" t="str">
        <f t="shared" si="5"/>
        <v>character</v>
      </c>
      <c r="J139">
        <v>422</v>
      </c>
      <c r="K139">
        <f t="shared" si="4"/>
        <v>95</v>
      </c>
    </row>
    <row r="140" spans="1:11" x14ac:dyDescent="0.2">
      <c r="A140" t="s">
        <v>36</v>
      </c>
      <c r="B140">
        <v>556.865234375</v>
      </c>
      <c r="C140">
        <v>10.909282219455299</v>
      </c>
      <c r="D140">
        <v>32.699262969316798</v>
      </c>
      <c r="E140">
        <v>43.194542302191302</v>
      </c>
      <c r="F140">
        <v>0.99130375469256105</v>
      </c>
      <c r="G140">
        <v>94.750326355533602</v>
      </c>
      <c r="H140">
        <v>88.417897190090599</v>
      </c>
      <c r="I140" t="str">
        <f t="shared" si="5"/>
        <v>character</v>
      </c>
      <c r="J140">
        <v>422</v>
      </c>
      <c r="K140">
        <f t="shared" si="4"/>
        <v>96</v>
      </c>
    </row>
    <row r="141" spans="1:11" x14ac:dyDescent="0.2">
      <c r="A141" t="s">
        <v>37</v>
      </c>
      <c r="B141">
        <v>650.7255859375</v>
      </c>
      <c r="C141">
        <v>9.3357324981278396</v>
      </c>
      <c r="D141">
        <v>33.399995863782699</v>
      </c>
      <c r="E141">
        <v>43.894969062813601</v>
      </c>
      <c r="F141">
        <v>0.99241649281951705</v>
      </c>
      <c r="G141">
        <v>96.1286256082969</v>
      </c>
      <c r="H141">
        <v>89.1405856489109</v>
      </c>
      <c r="I141" t="str">
        <f t="shared" si="5"/>
        <v>character</v>
      </c>
      <c r="J141">
        <v>422</v>
      </c>
      <c r="K141">
        <f t="shared" si="4"/>
        <v>97</v>
      </c>
    </row>
    <row r="142" spans="1:11" x14ac:dyDescent="0.2">
      <c r="A142" t="s">
        <v>38</v>
      </c>
      <c r="B142">
        <v>824.626953125</v>
      </c>
      <c r="C142">
        <v>7.3669675445099498</v>
      </c>
      <c r="D142">
        <v>33.992194266226797</v>
      </c>
      <c r="E142">
        <v>44.487540324039799</v>
      </c>
      <c r="F142">
        <v>0.99319011826721604</v>
      </c>
      <c r="G142">
        <v>97.294412091422302</v>
      </c>
      <c r="H142">
        <v>89.648027610888903</v>
      </c>
      <c r="I142" t="str">
        <f t="shared" si="5"/>
        <v>character</v>
      </c>
      <c r="J142">
        <v>422</v>
      </c>
      <c r="K142">
        <f t="shared" si="4"/>
        <v>98</v>
      </c>
    </row>
    <row r="143" spans="1:11" x14ac:dyDescent="0.2">
      <c r="A143" t="s">
        <v>39</v>
      </c>
      <c r="B143">
        <v>1234.283203125</v>
      </c>
      <c r="C143">
        <v>4.9218850136006997</v>
      </c>
      <c r="D143">
        <v>33.736978245238497</v>
      </c>
      <c r="E143">
        <v>44.232638759914998</v>
      </c>
      <c r="F143">
        <v>0.99187987565706104</v>
      </c>
      <c r="G143">
        <v>96.792960316694405</v>
      </c>
      <c r="H143">
        <v>88.791016037664804</v>
      </c>
      <c r="I143" t="str">
        <f t="shared" si="5"/>
        <v>character</v>
      </c>
      <c r="J143">
        <v>422</v>
      </c>
      <c r="K143">
        <f t="shared" si="4"/>
        <v>99</v>
      </c>
    </row>
    <row r="144" spans="1:11" x14ac:dyDescent="0.2">
      <c r="A144" t="s">
        <v>40</v>
      </c>
      <c r="B144">
        <v>1361.9267578125</v>
      </c>
      <c r="C144">
        <v>4.4605922933458997</v>
      </c>
      <c r="D144">
        <v>35.521341070669202</v>
      </c>
      <c r="E144">
        <v>46.017796906078097</v>
      </c>
      <c r="F144">
        <v>0.995212711062751</v>
      </c>
      <c r="G144">
        <v>100.30424475269</v>
      </c>
      <c r="H144">
        <v>90.994333445406696</v>
      </c>
      <c r="I144" t="str">
        <f t="shared" si="5"/>
        <v>character</v>
      </c>
      <c r="J144">
        <v>422</v>
      </c>
      <c r="K144">
        <f t="shared" si="4"/>
        <v>100</v>
      </c>
    </row>
    <row r="145" spans="1:11" x14ac:dyDescent="0.2">
      <c r="A145" t="s">
        <v>41</v>
      </c>
      <c r="B145">
        <v>431.9296875</v>
      </c>
      <c r="C145">
        <v>14.064789190949</v>
      </c>
      <c r="D145">
        <v>30.284166803222501</v>
      </c>
      <c r="E145">
        <v>37.224376432414502</v>
      </c>
      <c r="F145">
        <v>0.98661718386016795</v>
      </c>
      <c r="G145">
        <v>82.919023206774597</v>
      </c>
      <c r="H145">
        <v>85.465046574714705</v>
      </c>
      <c r="I145" t="str">
        <f t="shared" si="5"/>
        <v>earth</v>
      </c>
      <c r="J145">
        <v>422</v>
      </c>
      <c r="K145">
        <f t="shared" si="4"/>
        <v>90</v>
      </c>
    </row>
    <row r="146" spans="1:11" x14ac:dyDescent="0.2">
      <c r="A146" t="s">
        <v>42</v>
      </c>
      <c r="B146">
        <v>457.34375</v>
      </c>
      <c r="C146">
        <v>13.2832251451999</v>
      </c>
      <c r="D146">
        <v>30.534865298857401</v>
      </c>
      <c r="E146">
        <v>37.474999738194398</v>
      </c>
      <c r="F146">
        <v>0.98731407670082405</v>
      </c>
      <c r="G146">
        <v>83.424467028112701</v>
      </c>
      <c r="H146">
        <v>85.894999798567397</v>
      </c>
      <c r="I146" t="str">
        <f t="shared" si="5"/>
        <v>earth</v>
      </c>
      <c r="J146">
        <v>422</v>
      </c>
      <c r="K146">
        <f t="shared" si="4"/>
        <v>91</v>
      </c>
    </row>
    <row r="147" spans="1:11" x14ac:dyDescent="0.2">
      <c r="A147" t="s">
        <v>43</v>
      </c>
      <c r="B147">
        <v>486.4169921875</v>
      </c>
      <c r="C147">
        <v>12.489284086642799</v>
      </c>
      <c r="D147">
        <v>30.822973547921201</v>
      </c>
      <c r="E147">
        <v>37.762640239252299</v>
      </c>
      <c r="F147">
        <v>0.98794945966438497</v>
      </c>
      <c r="G147">
        <v>84.002518997524703</v>
      </c>
      <c r="H147">
        <v>86.289752425680504</v>
      </c>
      <c r="I147" t="str">
        <f t="shared" si="5"/>
        <v>earth</v>
      </c>
      <c r="J147">
        <v>422</v>
      </c>
      <c r="K147">
        <f t="shared" si="4"/>
        <v>92</v>
      </c>
    </row>
    <row r="148" spans="1:11" x14ac:dyDescent="0.2">
      <c r="A148" t="s">
        <v>44</v>
      </c>
      <c r="B148">
        <v>530.1708984375</v>
      </c>
      <c r="C148">
        <v>11.458569336612101</v>
      </c>
      <c r="D148">
        <v>31.192323155072501</v>
      </c>
      <c r="E148">
        <v>38.127436283836197</v>
      </c>
      <c r="F148">
        <v>0.98885329420503898</v>
      </c>
      <c r="G148">
        <v>84.732967450488104</v>
      </c>
      <c r="H148">
        <v>86.855842240800698</v>
      </c>
      <c r="I148" t="str">
        <f t="shared" si="5"/>
        <v>earth</v>
      </c>
      <c r="J148">
        <v>422</v>
      </c>
      <c r="K148">
        <f t="shared" si="4"/>
        <v>93</v>
      </c>
    </row>
    <row r="149" spans="1:11" x14ac:dyDescent="0.2">
      <c r="A149" t="s">
        <v>45</v>
      </c>
      <c r="B149">
        <v>585.69921875</v>
      </c>
      <c r="C149">
        <v>10.3722180353344</v>
      </c>
      <c r="D149">
        <v>31.578588549936899</v>
      </c>
      <c r="E149">
        <v>38.513610414119498</v>
      </c>
      <c r="F149">
        <v>0.98972150908439405</v>
      </c>
      <c r="G149">
        <v>85.503555459945105</v>
      </c>
      <c r="H149">
        <v>87.404700751432998</v>
      </c>
      <c r="I149" t="str">
        <f t="shared" si="5"/>
        <v>earth</v>
      </c>
      <c r="J149">
        <v>422</v>
      </c>
      <c r="K149">
        <f t="shared" si="4"/>
        <v>94</v>
      </c>
    </row>
    <row r="150" spans="1:11" x14ac:dyDescent="0.2">
      <c r="A150" t="s">
        <v>46</v>
      </c>
      <c r="B150">
        <v>665.9140625</v>
      </c>
      <c r="C150">
        <v>9.12279878456539</v>
      </c>
      <c r="D150">
        <v>31.9928045593064</v>
      </c>
      <c r="E150">
        <v>38.927129664504697</v>
      </c>
      <c r="F150">
        <v>0.99050634552386296</v>
      </c>
      <c r="G150">
        <v>86.326265583060106</v>
      </c>
      <c r="H150">
        <v>87.905170976959198</v>
      </c>
      <c r="I150" t="str">
        <f t="shared" si="5"/>
        <v>earth</v>
      </c>
      <c r="J150">
        <v>422</v>
      </c>
      <c r="K150">
        <f t="shared" si="4"/>
        <v>95</v>
      </c>
    </row>
    <row r="151" spans="1:11" x14ac:dyDescent="0.2">
      <c r="A151" t="s">
        <v>47</v>
      </c>
      <c r="B151">
        <v>763.66796875</v>
      </c>
      <c r="C151">
        <v>7.9550279029560302</v>
      </c>
      <c r="D151">
        <v>32.461387540844598</v>
      </c>
      <c r="E151">
        <v>39.399797967254301</v>
      </c>
      <c r="F151">
        <v>0.99153190853363604</v>
      </c>
      <c r="G151">
        <v>87.264217556928003</v>
      </c>
      <c r="H151">
        <v>88.565388968066401</v>
      </c>
      <c r="I151" t="str">
        <f t="shared" si="5"/>
        <v>earth</v>
      </c>
      <c r="J151">
        <v>422</v>
      </c>
      <c r="K151">
        <f t="shared" si="4"/>
        <v>96</v>
      </c>
    </row>
    <row r="152" spans="1:11" x14ac:dyDescent="0.2">
      <c r="A152" t="s">
        <v>48</v>
      </c>
      <c r="B152">
        <v>852.517578125</v>
      </c>
      <c r="C152">
        <v>7.1259527731512096</v>
      </c>
      <c r="D152">
        <v>32.990692773291698</v>
      </c>
      <c r="E152">
        <v>39.9287403243463</v>
      </c>
      <c r="F152">
        <v>0.992668061699433</v>
      </c>
      <c r="G152">
        <v>88.311475520547106</v>
      </c>
      <c r="H152">
        <v>89.305144690606497</v>
      </c>
      <c r="I152" t="str">
        <f t="shared" si="5"/>
        <v>earth</v>
      </c>
      <c r="J152">
        <v>422</v>
      </c>
      <c r="K152">
        <f t="shared" si="4"/>
        <v>97</v>
      </c>
    </row>
    <row r="153" spans="1:11" x14ac:dyDescent="0.2">
      <c r="A153" t="s">
        <v>49</v>
      </c>
      <c r="B153">
        <v>1049.322265625</v>
      </c>
      <c r="C153">
        <v>5.7894511524365599</v>
      </c>
      <c r="D153">
        <v>33.400581478103398</v>
      </c>
      <c r="E153">
        <v>40.338264608962703</v>
      </c>
      <c r="F153">
        <v>0.99325387902427698</v>
      </c>
      <c r="G153">
        <v>89.120984858065498</v>
      </c>
      <c r="H153">
        <v>89.690034089690002</v>
      </c>
      <c r="I153" t="str">
        <f t="shared" si="5"/>
        <v>earth</v>
      </c>
      <c r="J153">
        <v>422</v>
      </c>
      <c r="K153">
        <f t="shared" si="4"/>
        <v>98</v>
      </c>
    </row>
    <row r="154" spans="1:11" x14ac:dyDescent="0.2">
      <c r="A154" t="s">
        <v>50</v>
      </c>
      <c r="B154">
        <v>1404.33984375</v>
      </c>
      <c r="C154">
        <v>4.3258759815415901</v>
      </c>
      <c r="D154">
        <v>33.7174740382073</v>
      </c>
      <c r="E154">
        <v>40.655025190262798</v>
      </c>
      <c r="F154">
        <v>0.99363878227775804</v>
      </c>
      <c r="G154">
        <v>89.7465099336695</v>
      </c>
      <c r="H154">
        <v>89.944211641866801</v>
      </c>
      <c r="I154" t="str">
        <f t="shared" si="5"/>
        <v>earth</v>
      </c>
      <c r="J154">
        <v>422</v>
      </c>
      <c r="K154">
        <f t="shared" si="4"/>
        <v>99</v>
      </c>
    </row>
    <row r="155" spans="1:11" x14ac:dyDescent="0.2">
      <c r="A155" t="s">
        <v>51</v>
      </c>
      <c r="B155">
        <v>1572.9150390625</v>
      </c>
      <c r="C155">
        <v>3.8622556521685101</v>
      </c>
      <c r="D155">
        <v>34.340535238989403</v>
      </c>
      <c r="E155">
        <v>41.277223185493</v>
      </c>
      <c r="F155">
        <v>0.99518850170481599</v>
      </c>
      <c r="G155">
        <v>90.973981646859897</v>
      </c>
      <c r="H155">
        <v>90.978049300252195</v>
      </c>
      <c r="I155" t="str">
        <f t="shared" si="5"/>
        <v>earth</v>
      </c>
      <c r="J155">
        <v>422</v>
      </c>
      <c r="K155">
        <f t="shared" si="4"/>
        <v>100</v>
      </c>
    </row>
    <row r="156" spans="1:11" x14ac:dyDescent="0.2">
      <c r="A156" t="s">
        <v>52</v>
      </c>
      <c r="B156">
        <v>250.478515625</v>
      </c>
      <c r="C156">
        <v>24.253577137510199</v>
      </c>
      <c r="D156">
        <v>36.598936668552597</v>
      </c>
      <c r="E156">
        <v>42.5316215813559</v>
      </c>
      <c r="F156">
        <v>0.98690542083516297</v>
      </c>
      <c r="G156">
        <v>93.445361058722298</v>
      </c>
      <c r="H156">
        <v>85.6424955032805</v>
      </c>
      <c r="I156" t="str">
        <f t="shared" si="5"/>
        <v>flower</v>
      </c>
      <c r="J156">
        <v>422</v>
      </c>
      <c r="K156">
        <f t="shared" si="4"/>
        <v>90</v>
      </c>
    </row>
    <row r="157" spans="1:11" x14ac:dyDescent="0.2">
      <c r="A157" t="s">
        <v>53</v>
      </c>
      <c r="B157">
        <v>276.6865234375</v>
      </c>
      <c r="C157">
        <v>21.956255492769799</v>
      </c>
      <c r="D157">
        <v>36.736240614627803</v>
      </c>
      <c r="E157">
        <v>42.668854154778501</v>
      </c>
      <c r="F157">
        <v>0.987295717430271</v>
      </c>
      <c r="G157">
        <v>93.715551539839197</v>
      </c>
      <c r="H157">
        <v>85.883632557886102</v>
      </c>
      <c r="I157" t="str">
        <f t="shared" si="5"/>
        <v>flower</v>
      </c>
      <c r="J157">
        <v>422</v>
      </c>
      <c r="K157">
        <f t="shared" si="4"/>
        <v>91</v>
      </c>
    </row>
    <row r="158" spans="1:11" x14ac:dyDescent="0.2">
      <c r="A158" t="s">
        <v>54</v>
      </c>
      <c r="B158">
        <v>292.58984375</v>
      </c>
      <c r="C158">
        <v>20.7628532902554</v>
      </c>
      <c r="D158">
        <v>36.785633219717397</v>
      </c>
      <c r="E158">
        <v>42.718229791089399</v>
      </c>
      <c r="F158">
        <v>0.98738959078062205</v>
      </c>
      <c r="G158">
        <v>93.812758264189796</v>
      </c>
      <c r="H158">
        <v>85.941777770403604</v>
      </c>
      <c r="I158" t="str">
        <f t="shared" si="5"/>
        <v>flower</v>
      </c>
      <c r="J158">
        <v>422</v>
      </c>
      <c r="K158">
        <f t="shared" si="4"/>
        <v>92</v>
      </c>
    </row>
    <row r="159" spans="1:11" x14ac:dyDescent="0.2">
      <c r="A159" t="s">
        <v>55</v>
      </c>
      <c r="B159">
        <v>337.0205078125</v>
      </c>
      <c r="C159">
        <v>18.0256093002501</v>
      </c>
      <c r="D159">
        <v>37.009131932743202</v>
      </c>
      <c r="E159">
        <v>42.934860197010799</v>
      </c>
      <c r="F159">
        <v>0.98782778932303195</v>
      </c>
      <c r="G159">
        <v>94.239204612212205</v>
      </c>
      <c r="H159">
        <v>86.213956907577796</v>
      </c>
      <c r="I159" t="str">
        <f t="shared" si="5"/>
        <v>flower</v>
      </c>
      <c r="J159">
        <v>422</v>
      </c>
      <c r="K159">
        <f t="shared" si="4"/>
        <v>93</v>
      </c>
    </row>
    <row r="160" spans="1:11" x14ac:dyDescent="0.2">
      <c r="A160" t="s">
        <v>56</v>
      </c>
      <c r="B160">
        <v>394.0009765625</v>
      </c>
      <c r="C160">
        <v>15.418743509221599</v>
      </c>
      <c r="D160">
        <v>37.198915052005397</v>
      </c>
      <c r="E160">
        <v>43.124585438517002</v>
      </c>
      <c r="F160">
        <v>0.98828549265920695</v>
      </c>
      <c r="G160">
        <v>94.612640419330702</v>
      </c>
      <c r="H160">
        <v>86.499590116984095</v>
      </c>
      <c r="I160" t="str">
        <f t="shared" si="5"/>
        <v>flower</v>
      </c>
      <c r="J160">
        <v>422</v>
      </c>
      <c r="K160">
        <f t="shared" si="4"/>
        <v>94</v>
      </c>
    </row>
    <row r="161" spans="1:11" x14ac:dyDescent="0.2">
      <c r="A161" t="s">
        <v>57</v>
      </c>
      <c r="B161">
        <v>466.4482421875</v>
      </c>
      <c r="C161">
        <v>13.023953036054101</v>
      </c>
      <c r="D161">
        <v>37.368357520462801</v>
      </c>
      <c r="E161">
        <v>43.294069808433697</v>
      </c>
      <c r="F161">
        <v>0.98865857727611495</v>
      </c>
      <c r="G161">
        <v>94.946203208353396</v>
      </c>
      <c r="H161">
        <v>86.733433076374496</v>
      </c>
      <c r="I161" t="str">
        <f t="shared" si="5"/>
        <v>flower</v>
      </c>
      <c r="J161">
        <v>422</v>
      </c>
      <c r="K161">
        <f t="shared" si="4"/>
        <v>95</v>
      </c>
    </row>
    <row r="162" spans="1:11" x14ac:dyDescent="0.2">
      <c r="A162" t="s">
        <v>58</v>
      </c>
      <c r="B162">
        <v>584.3154296875</v>
      </c>
      <c r="C162">
        <v>10.396781757498699</v>
      </c>
      <c r="D162">
        <v>37.841988573478197</v>
      </c>
      <c r="E162">
        <v>43.774454442895703</v>
      </c>
      <c r="F162">
        <v>0.98994689039582195</v>
      </c>
      <c r="G162">
        <v>95.891505513621794</v>
      </c>
      <c r="H162">
        <v>87.547999102361501</v>
      </c>
      <c r="I162" t="str">
        <f t="shared" si="5"/>
        <v>flower</v>
      </c>
      <c r="J162">
        <v>422</v>
      </c>
      <c r="K162">
        <f t="shared" si="4"/>
        <v>96</v>
      </c>
    </row>
    <row r="163" spans="1:11" x14ac:dyDescent="0.2">
      <c r="A163" t="s">
        <v>59</v>
      </c>
      <c r="B163">
        <v>678.5341796875</v>
      </c>
      <c r="C163">
        <v>8.9531230435552303</v>
      </c>
      <c r="D163">
        <v>38.734678234163603</v>
      </c>
      <c r="E163">
        <v>44.667121346836801</v>
      </c>
      <c r="F163">
        <v>0.99188277066808495</v>
      </c>
      <c r="G163">
        <v>97.647670866669003</v>
      </c>
      <c r="H163">
        <v>88.792896663960406</v>
      </c>
      <c r="I163" t="str">
        <f t="shared" si="5"/>
        <v>flower</v>
      </c>
      <c r="J163">
        <v>422</v>
      </c>
      <c r="K163">
        <f t="shared" si="4"/>
        <v>97</v>
      </c>
    </row>
    <row r="164" spans="1:11" x14ac:dyDescent="0.2">
      <c r="A164" t="s">
        <v>60</v>
      </c>
      <c r="B164">
        <v>829.1884765625</v>
      </c>
      <c r="C164">
        <v>7.3264404555941702</v>
      </c>
      <c r="D164">
        <v>39.693798952255797</v>
      </c>
      <c r="E164">
        <v>45.626617705153897</v>
      </c>
      <c r="F164">
        <v>0.99353884169134699</v>
      </c>
      <c r="G164">
        <v>99.534909524933198</v>
      </c>
      <c r="H164">
        <v>89.878115415330498</v>
      </c>
      <c r="I164" t="str">
        <f t="shared" si="5"/>
        <v>flower</v>
      </c>
      <c r="J164">
        <v>422</v>
      </c>
      <c r="K164">
        <f t="shared" si="4"/>
        <v>98</v>
      </c>
    </row>
    <row r="165" spans="1:11" x14ac:dyDescent="0.2">
      <c r="A165" t="s">
        <v>61</v>
      </c>
      <c r="B165">
        <v>1213.85546875</v>
      </c>
      <c r="C165">
        <v>5.00471444615716</v>
      </c>
      <c r="D165">
        <v>39.271269923853197</v>
      </c>
      <c r="E165">
        <v>45.205614294499</v>
      </c>
      <c r="F165">
        <v>0.99246184328896203</v>
      </c>
      <c r="G165">
        <v>98.706874026064895</v>
      </c>
      <c r="H165">
        <v>89.170218712198704</v>
      </c>
      <c r="I165" t="str">
        <f t="shared" si="5"/>
        <v>flower</v>
      </c>
      <c r="J165">
        <v>422</v>
      </c>
      <c r="K165">
        <f t="shared" si="4"/>
        <v>99</v>
      </c>
    </row>
    <row r="166" spans="1:11" x14ac:dyDescent="0.2">
      <c r="A166" t="s">
        <v>62</v>
      </c>
      <c r="B166">
        <v>1314.126953125</v>
      </c>
      <c r="C166">
        <v>4.6228410318756703</v>
      </c>
      <c r="D166">
        <v>41.573171888115702</v>
      </c>
      <c r="E166">
        <v>47.507571557648902</v>
      </c>
      <c r="F166">
        <v>0.99595974789681296</v>
      </c>
      <c r="G166">
        <v>103.23395432041301</v>
      </c>
      <c r="H166">
        <v>91.498858388420601</v>
      </c>
      <c r="I166" t="str">
        <f t="shared" si="5"/>
        <v>flower</v>
      </c>
      <c r="J166">
        <v>422</v>
      </c>
      <c r="K166">
        <f t="shared" si="4"/>
        <v>100</v>
      </c>
    </row>
    <row r="167" spans="1:11" x14ac:dyDescent="0.2">
      <c r="A167" t="s">
        <v>63</v>
      </c>
      <c r="B167">
        <v>480.625</v>
      </c>
      <c r="C167">
        <v>12.6397919375813</v>
      </c>
      <c r="D167">
        <v>29.287322023009299</v>
      </c>
      <c r="E167">
        <v>38.095200307766497</v>
      </c>
      <c r="F167">
        <v>0.99184345944167096</v>
      </c>
      <c r="G167">
        <v>84.668526194908296</v>
      </c>
      <c r="H167">
        <v>88.767364601769302</v>
      </c>
      <c r="I167" t="str">
        <f t="shared" si="5"/>
        <v>pcgame</v>
      </c>
      <c r="J167">
        <v>422</v>
      </c>
      <c r="K167">
        <f t="shared" si="4"/>
        <v>90</v>
      </c>
    </row>
    <row r="168" spans="1:11" x14ac:dyDescent="0.2">
      <c r="A168" t="s">
        <v>64</v>
      </c>
      <c r="B168">
        <v>496.5791015625</v>
      </c>
      <c r="C168">
        <v>12.2337004938082</v>
      </c>
      <c r="D168">
        <v>29.443366746719999</v>
      </c>
      <c r="E168">
        <v>38.251061360800598</v>
      </c>
      <c r="F168">
        <v>0.99218285184775301</v>
      </c>
      <c r="G168">
        <v>84.979925630707896</v>
      </c>
      <c r="H168">
        <v>88.9881424388673</v>
      </c>
      <c r="I168" t="str">
        <f t="shared" si="5"/>
        <v>pcgame</v>
      </c>
      <c r="J168">
        <v>422</v>
      </c>
      <c r="K168">
        <f t="shared" si="4"/>
        <v>91</v>
      </c>
    </row>
    <row r="169" spans="1:11" x14ac:dyDescent="0.2">
      <c r="A169" t="s">
        <v>65</v>
      </c>
      <c r="B169">
        <v>518.087890625</v>
      </c>
      <c r="C169">
        <v>11.725809674245401</v>
      </c>
      <c r="D169">
        <v>29.6108852189587</v>
      </c>
      <c r="E169">
        <v>38.418086666368097</v>
      </c>
      <c r="F169">
        <v>0.99245179097102998</v>
      </c>
      <c r="G169">
        <v>85.313168466358405</v>
      </c>
      <c r="H169">
        <v>89.163649074589799</v>
      </c>
      <c r="I169" t="str">
        <f t="shared" si="5"/>
        <v>pcgame</v>
      </c>
      <c r="J169">
        <v>422</v>
      </c>
      <c r="K169">
        <f t="shared" si="4"/>
        <v>92</v>
      </c>
    </row>
    <row r="170" spans="1:11" x14ac:dyDescent="0.2">
      <c r="A170" t="s">
        <v>66</v>
      </c>
      <c r="B170">
        <v>554.5107421875</v>
      </c>
      <c r="C170">
        <v>10.9556038103691</v>
      </c>
      <c r="D170">
        <v>29.864155793549902</v>
      </c>
      <c r="E170">
        <v>38.666227493273603</v>
      </c>
      <c r="F170">
        <v>0.99299920228690997</v>
      </c>
      <c r="G170">
        <v>85.807457136567706</v>
      </c>
      <c r="H170">
        <v>89.522417454778406</v>
      </c>
      <c r="I170" t="str">
        <f t="shared" si="5"/>
        <v>pcgame</v>
      </c>
      <c r="J170">
        <v>422</v>
      </c>
      <c r="K170">
        <f t="shared" si="4"/>
        <v>93</v>
      </c>
    </row>
    <row r="171" spans="1:11" x14ac:dyDescent="0.2">
      <c r="A171" t="s">
        <v>67</v>
      </c>
      <c r="B171">
        <v>601.150390625</v>
      </c>
      <c r="C171">
        <v>10.1056243075613</v>
      </c>
      <c r="D171">
        <v>30.066996996525599</v>
      </c>
      <c r="E171">
        <v>38.869402048087402</v>
      </c>
      <c r="F171">
        <v>0.99348741341347202</v>
      </c>
      <c r="G171">
        <v>86.211546167011207</v>
      </c>
      <c r="H171">
        <v>89.844130063916694</v>
      </c>
      <c r="I171" t="str">
        <f t="shared" si="5"/>
        <v>pcgame</v>
      </c>
      <c r="J171">
        <v>422</v>
      </c>
      <c r="K171">
        <f t="shared" si="4"/>
        <v>94</v>
      </c>
    </row>
    <row r="172" spans="1:11" x14ac:dyDescent="0.2">
      <c r="A172" t="s">
        <v>68</v>
      </c>
      <c r="B172">
        <v>655.388671875</v>
      </c>
      <c r="C172">
        <v>9.2693088249756403</v>
      </c>
      <c r="D172">
        <v>30.286651001316301</v>
      </c>
      <c r="E172">
        <v>39.088599287046698</v>
      </c>
      <c r="F172">
        <v>0.99391954427718299</v>
      </c>
      <c r="G172">
        <v>86.646943464811798</v>
      </c>
      <c r="H172">
        <v>90.130266441246206</v>
      </c>
      <c r="I172" t="str">
        <f t="shared" si="5"/>
        <v>pcgame</v>
      </c>
      <c r="J172">
        <v>422</v>
      </c>
      <c r="K172">
        <f t="shared" si="4"/>
        <v>95</v>
      </c>
    </row>
    <row r="173" spans="1:11" x14ac:dyDescent="0.2">
      <c r="A173" t="s">
        <v>69</v>
      </c>
      <c r="B173">
        <v>715.486328125</v>
      </c>
      <c r="C173">
        <v>8.4907282797703694</v>
      </c>
      <c r="D173">
        <v>30.4327199759928</v>
      </c>
      <c r="E173">
        <v>39.239576064041799</v>
      </c>
      <c r="F173">
        <v>0.99421590232921497</v>
      </c>
      <c r="G173">
        <v>86.946529971250399</v>
      </c>
      <c r="H173">
        <v>90.327252096183003</v>
      </c>
      <c r="I173" t="str">
        <f t="shared" si="5"/>
        <v>pcgame</v>
      </c>
      <c r="J173">
        <v>422</v>
      </c>
      <c r="K173">
        <f t="shared" si="4"/>
        <v>96</v>
      </c>
    </row>
    <row r="174" spans="1:11" x14ac:dyDescent="0.2">
      <c r="A174" t="s">
        <v>70</v>
      </c>
      <c r="B174">
        <v>783.9072265625</v>
      </c>
      <c r="C174">
        <v>7.7496415317401697</v>
      </c>
      <c r="D174">
        <v>30.5790340377525</v>
      </c>
      <c r="E174">
        <v>39.385333579253199</v>
      </c>
      <c r="F174">
        <v>0.99471488619933202</v>
      </c>
      <c r="G174">
        <v>87.235547364289999</v>
      </c>
      <c r="H174">
        <v>90.660308179354402</v>
      </c>
      <c r="I174" t="str">
        <f t="shared" si="5"/>
        <v>pcgame</v>
      </c>
      <c r="J174">
        <v>422</v>
      </c>
      <c r="K174">
        <f t="shared" si="4"/>
        <v>97</v>
      </c>
    </row>
    <row r="175" spans="1:11" x14ac:dyDescent="0.2">
      <c r="A175" t="s">
        <v>71</v>
      </c>
      <c r="B175">
        <v>876.826171875</v>
      </c>
      <c r="C175">
        <v>6.9283972067225799</v>
      </c>
      <c r="D175">
        <v>30.635054981598099</v>
      </c>
      <c r="E175">
        <v>39.4407186515039</v>
      </c>
      <c r="F175">
        <v>0.99461493446345906</v>
      </c>
      <c r="G175">
        <v>87.345317278419301</v>
      </c>
      <c r="H175">
        <v>90.593453751762794</v>
      </c>
      <c r="I175" t="str">
        <f t="shared" si="5"/>
        <v>pcgame</v>
      </c>
      <c r="J175">
        <v>422</v>
      </c>
      <c r="K175">
        <f t="shared" si="4"/>
        <v>98</v>
      </c>
    </row>
    <row r="176" spans="1:11" x14ac:dyDescent="0.2">
      <c r="A176" t="s">
        <v>72</v>
      </c>
      <c r="B176">
        <v>1088.751953125</v>
      </c>
      <c r="C176">
        <v>5.5797833313301304</v>
      </c>
      <c r="D176">
        <v>30.607242137458599</v>
      </c>
      <c r="E176">
        <v>39.412608967684598</v>
      </c>
      <c r="F176">
        <v>0.99440258317222896</v>
      </c>
      <c r="G176">
        <v>87.289608967286696</v>
      </c>
      <c r="H176">
        <v>90.4516515323173</v>
      </c>
      <c r="I176" t="str">
        <f t="shared" si="5"/>
        <v>pcgame</v>
      </c>
      <c r="J176">
        <v>422</v>
      </c>
      <c r="K176">
        <f t="shared" si="4"/>
        <v>99</v>
      </c>
    </row>
    <row r="177" spans="1:11" x14ac:dyDescent="0.2">
      <c r="A177" t="s">
        <v>73</v>
      </c>
      <c r="B177">
        <v>1154.4638671875</v>
      </c>
      <c r="C177">
        <v>5.2621828821718699</v>
      </c>
      <c r="D177">
        <v>30.804367564208899</v>
      </c>
      <c r="E177">
        <v>39.609857565073803</v>
      </c>
      <c r="F177">
        <v>0.99519510604628603</v>
      </c>
      <c r="G177">
        <v>87.680377858844906</v>
      </c>
      <c r="H177">
        <v>90.982491223879407</v>
      </c>
      <c r="I177" t="str">
        <f t="shared" si="5"/>
        <v>pcgame</v>
      </c>
      <c r="J177">
        <v>422</v>
      </c>
      <c r="K177">
        <f t="shared" si="4"/>
        <v>100</v>
      </c>
    </row>
    <row r="178" spans="1:11" x14ac:dyDescent="0.2">
      <c r="A178" t="s">
        <v>74</v>
      </c>
      <c r="B178">
        <v>453.384765625</v>
      </c>
      <c r="C178">
        <v>13.399215105133701</v>
      </c>
      <c r="D178">
        <v>30.139524242100801</v>
      </c>
      <c r="E178">
        <v>32.272336013235801</v>
      </c>
      <c r="F178">
        <v>0.98344893108520803</v>
      </c>
      <c r="G178">
        <v>71.769247754132394</v>
      </c>
      <c r="H178">
        <v>83.549499536955395</v>
      </c>
      <c r="I178" t="str">
        <f t="shared" si="5"/>
        <v>pc_desktop</v>
      </c>
      <c r="J178">
        <v>422</v>
      </c>
      <c r="K178">
        <f t="shared" si="4"/>
        <v>90</v>
      </c>
    </row>
    <row r="179" spans="1:11" x14ac:dyDescent="0.2">
      <c r="A179" t="s">
        <v>75</v>
      </c>
      <c r="B179">
        <v>472.6181640625</v>
      </c>
      <c r="C179">
        <v>12.8539283124053</v>
      </c>
      <c r="D179">
        <v>30.197905891154502</v>
      </c>
      <c r="E179">
        <v>32.329800909302797</v>
      </c>
      <c r="F179">
        <v>0.98464063805535196</v>
      </c>
      <c r="G179">
        <v>71.927888980002905</v>
      </c>
      <c r="H179">
        <v>84.262558252820597</v>
      </c>
      <c r="I179" t="str">
        <f t="shared" si="5"/>
        <v>pc_desktop</v>
      </c>
      <c r="J179">
        <v>422</v>
      </c>
      <c r="K179">
        <f t="shared" si="4"/>
        <v>91</v>
      </c>
    </row>
    <row r="180" spans="1:11" x14ac:dyDescent="0.2">
      <c r="A180" t="s">
        <v>76</v>
      </c>
      <c r="B180">
        <v>493.7783203125</v>
      </c>
      <c r="C180">
        <v>12.303091792598901</v>
      </c>
      <c r="D180">
        <v>30.2793054849299</v>
      </c>
      <c r="E180">
        <v>32.410567833534301</v>
      </c>
      <c r="F180">
        <v>0.98523090197242602</v>
      </c>
      <c r="G180">
        <v>72.148675350206503</v>
      </c>
      <c r="H180">
        <v>84.619055864742194</v>
      </c>
      <c r="I180" t="str">
        <f t="shared" si="5"/>
        <v>pc_desktop</v>
      </c>
      <c r="J180">
        <v>422</v>
      </c>
      <c r="K180">
        <f t="shared" si="4"/>
        <v>92</v>
      </c>
    </row>
    <row r="181" spans="1:11" x14ac:dyDescent="0.2">
      <c r="A181" t="s">
        <v>77</v>
      </c>
      <c r="B181">
        <v>526.595703125</v>
      </c>
      <c r="C181">
        <v>11.536364546745901</v>
      </c>
      <c r="D181">
        <v>30.3661857035056</v>
      </c>
      <c r="E181">
        <v>32.494897377479099</v>
      </c>
      <c r="F181">
        <v>0.98668628871379604</v>
      </c>
      <c r="G181">
        <v>72.376562985306606</v>
      </c>
      <c r="H181">
        <v>85.507541104444499</v>
      </c>
      <c r="I181" t="str">
        <f t="shared" si="5"/>
        <v>pc_desktop</v>
      </c>
      <c r="J181">
        <v>422</v>
      </c>
      <c r="K181">
        <f t="shared" si="4"/>
        <v>93</v>
      </c>
    </row>
    <row r="182" spans="1:11" x14ac:dyDescent="0.2">
      <c r="A182" t="s">
        <v>78</v>
      </c>
      <c r="B182">
        <v>566.419921875</v>
      </c>
      <c r="C182">
        <v>10.7252583558328</v>
      </c>
      <c r="D182">
        <v>30.4350259073085</v>
      </c>
      <c r="E182">
        <v>32.562777846736402</v>
      </c>
      <c r="F182">
        <v>0.98761325043078296</v>
      </c>
      <c r="G182">
        <v>72.558107520978893</v>
      </c>
      <c r="H182">
        <v>86.080543621003898</v>
      </c>
      <c r="I182" t="str">
        <f t="shared" si="5"/>
        <v>pc_desktop</v>
      </c>
      <c r="J182">
        <v>422</v>
      </c>
      <c r="K182">
        <f t="shared" si="4"/>
        <v>94</v>
      </c>
    </row>
    <row r="183" spans="1:11" x14ac:dyDescent="0.2">
      <c r="A183" t="s">
        <v>79</v>
      </c>
      <c r="B183">
        <v>621.0966796875</v>
      </c>
      <c r="C183">
        <v>9.7810859382738808</v>
      </c>
      <c r="D183">
        <v>30.518125614468399</v>
      </c>
      <c r="E183">
        <v>32.645224183207297</v>
      </c>
      <c r="F183">
        <v>0.98841254474545803</v>
      </c>
      <c r="G183">
        <v>72.776415832858405</v>
      </c>
      <c r="H183">
        <v>86.579121411839694</v>
      </c>
      <c r="I183" t="str">
        <f t="shared" si="5"/>
        <v>pc_desktop</v>
      </c>
      <c r="J183">
        <v>422</v>
      </c>
      <c r="K183">
        <f t="shared" si="4"/>
        <v>95</v>
      </c>
    </row>
    <row r="184" spans="1:11" x14ac:dyDescent="0.2">
      <c r="A184" t="s">
        <v>80</v>
      </c>
      <c r="B184">
        <v>686.451171875</v>
      </c>
      <c r="C184">
        <v>8.8498647083761295</v>
      </c>
      <c r="D184">
        <v>30.5661768819052</v>
      </c>
      <c r="E184">
        <v>32.693776314983403</v>
      </c>
      <c r="F184">
        <v>0.98933771327192599</v>
      </c>
      <c r="G184">
        <v>72.903884157937298</v>
      </c>
      <c r="H184">
        <v>87.161460291104305</v>
      </c>
      <c r="I184" t="str">
        <f t="shared" si="5"/>
        <v>pc_desktop</v>
      </c>
      <c r="J184">
        <v>422</v>
      </c>
      <c r="K184">
        <f t="shared" si="4"/>
        <v>96</v>
      </c>
    </row>
    <row r="185" spans="1:11" x14ac:dyDescent="0.2">
      <c r="A185" t="s">
        <v>81</v>
      </c>
      <c r="B185">
        <v>752.38671875</v>
      </c>
      <c r="C185">
        <v>8.0743052058293703</v>
      </c>
      <c r="D185">
        <v>30.6201136838636</v>
      </c>
      <c r="E185">
        <v>32.746077489121902</v>
      </c>
      <c r="F185">
        <v>0.99069160926257305</v>
      </c>
      <c r="G185">
        <v>73.040314200276697</v>
      </c>
      <c r="H185">
        <v>88.023911428354495</v>
      </c>
      <c r="I185" t="str">
        <f t="shared" si="5"/>
        <v>pc_desktop</v>
      </c>
      <c r="J185">
        <v>422</v>
      </c>
      <c r="K185">
        <f t="shared" si="4"/>
        <v>97</v>
      </c>
    </row>
    <row r="186" spans="1:11" x14ac:dyDescent="0.2">
      <c r="A186" t="s">
        <v>82</v>
      </c>
      <c r="B186">
        <v>851.9052734375</v>
      </c>
      <c r="C186">
        <v>7.1310745330721197</v>
      </c>
      <c r="D186">
        <v>30.665550051107299</v>
      </c>
      <c r="E186">
        <v>32.790662947083</v>
      </c>
      <c r="F186">
        <v>0.99104783837496102</v>
      </c>
      <c r="G186">
        <v>73.155911729727407</v>
      </c>
      <c r="H186">
        <v>88.252877795397097</v>
      </c>
      <c r="I186" t="str">
        <f t="shared" si="5"/>
        <v>pc_desktop</v>
      </c>
      <c r="J186">
        <v>422</v>
      </c>
      <c r="K186">
        <f t="shared" si="4"/>
        <v>98</v>
      </c>
    </row>
    <row r="187" spans="1:11" x14ac:dyDescent="0.2">
      <c r="A187" t="s">
        <v>83</v>
      </c>
      <c r="B187">
        <v>1053.8525390625</v>
      </c>
      <c r="C187">
        <v>5.7645636128601803</v>
      </c>
      <c r="D187">
        <v>30.689995451015601</v>
      </c>
      <c r="E187">
        <v>32.813607553142603</v>
      </c>
      <c r="F187">
        <v>0.99134305846452297</v>
      </c>
      <c r="G187">
        <v>73.2151520948956</v>
      </c>
      <c r="H187">
        <v>88.443280241207006</v>
      </c>
      <c r="I187" t="str">
        <f t="shared" si="5"/>
        <v>pc_desktop</v>
      </c>
      <c r="J187">
        <v>422</v>
      </c>
      <c r="K187">
        <f t="shared" si="4"/>
        <v>99</v>
      </c>
    </row>
    <row r="188" spans="1:11" x14ac:dyDescent="0.2">
      <c r="A188" t="s">
        <v>84</v>
      </c>
      <c r="B188">
        <v>1135.5693359375</v>
      </c>
      <c r="C188">
        <v>5.3497393842399097</v>
      </c>
      <c r="D188">
        <v>30.7336319836473</v>
      </c>
      <c r="E188">
        <v>32.856002135565603</v>
      </c>
      <c r="F188">
        <v>0.99279625435480201</v>
      </c>
      <c r="G188">
        <v>73.3241732158682</v>
      </c>
      <c r="H188">
        <v>89.389166750850293</v>
      </c>
      <c r="I188" t="str">
        <f t="shared" si="5"/>
        <v>pc_desktop</v>
      </c>
      <c r="J188">
        <v>422</v>
      </c>
      <c r="K188">
        <f t="shared" si="4"/>
        <v>100</v>
      </c>
    </row>
    <row r="189" spans="1:11" x14ac:dyDescent="0.2">
      <c r="A189" t="s">
        <v>85</v>
      </c>
      <c r="B189">
        <v>351.396484375</v>
      </c>
      <c r="C189">
        <v>17.288163855153801</v>
      </c>
      <c r="D189">
        <v>35.382714294182797</v>
      </c>
      <c r="E189">
        <v>40.746872350419302</v>
      </c>
      <c r="F189">
        <v>0.98702056912474101</v>
      </c>
      <c r="G189">
        <v>89.927799634399193</v>
      </c>
      <c r="H189">
        <v>85.713534977798403</v>
      </c>
      <c r="I189" t="str">
        <f t="shared" si="5"/>
        <v>shop</v>
      </c>
      <c r="J189">
        <v>422</v>
      </c>
      <c r="K189">
        <f t="shared" si="4"/>
        <v>90</v>
      </c>
    </row>
    <row r="190" spans="1:11" x14ac:dyDescent="0.2">
      <c r="A190" t="s">
        <v>86</v>
      </c>
      <c r="B190">
        <v>374.111328125</v>
      </c>
      <c r="C190">
        <v>16.2384818188937</v>
      </c>
      <c r="D190">
        <v>35.632686402788401</v>
      </c>
      <c r="E190">
        <v>40.9970836799815</v>
      </c>
      <c r="F190">
        <v>0.98767144296563303</v>
      </c>
      <c r="G190">
        <v>90.421498367100398</v>
      </c>
      <c r="H190">
        <v>86.116701597711696</v>
      </c>
      <c r="I190" t="str">
        <f t="shared" si="5"/>
        <v>shop</v>
      </c>
      <c r="J190">
        <v>422</v>
      </c>
      <c r="K190">
        <f t="shared" si="4"/>
        <v>91</v>
      </c>
    </row>
    <row r="191" spans="1:11" x14ac:dyDescent="0.2">
      <c r="A191" t="s">
        <v>87</v>
      </c>
      <c r="B191">
        <v>392.9833984375</v>
      </c>
      <c r="C191">
        <v>15.458668290197901</v>
      </c>
      <c r="D191">
        <v>35.885860891339398</v>
      </c>
      <c r="E191">
        <v>41.250284590333401</v>
      </c>
      <c r="F191">
        <v>0.98797257740847599</v>
      </c>
      <c r="G191">
        <v>90.920865255801004</v>
      </c>
      <c r="H191">
        <v>86.3041647499372</v>
      </c>
      <c r="I191" t="str">
        <f t="shared" si="5"/>
        <v>shop</v>
      </c>
      <c r="J191">
        <v>422</v>
      </c>
      <c r="K191">
        <f t="shared" si="4"/>
        <v>92</v>
      </c>
    </row>
    <row r="192" spans="1:11" x14ac:dyDescent="0.2">
      <c r="A192" t="s">
        <v>88</v>
      </c>
      <c r="B192">
        <v>433.4072265625</v>
      </c>
      <c r="C192">
        <v>14.016840577816099</v>
      </c>
      <c r="D192">
        <v>36.268294052332202</v>
      </c>
      <c r="E192">
        <v>41.627178495896104</v>
      </c>
      <c r="F192">
        <v>0.98871428460289301</v>
      </c>
      <c r="G192">
        <v>91.663817382374603</v>
      </c>
      <c r="H192">
        <v>86.768428060261598</v>
      </c>
      <c r="I192" t="str">
        <f t="shared" si="5"/>
        <v>shop</v>
      </c>
      <c r="J192">
        <v>422</v>
      </c>
      <c r="K192">
        <f t="shared" si="4"/>
        <v>93</v>
      </c>
    </row>
    <row r="193" spans="1:11" x14ac:dyDescent="0.2">
      <c r="A193" t="s">
        <v>89</v>
      </c>
      <c r="B193">
        <v>479.7734375</v>
      </c>
      <c r="C193">
        <v>12.6622266369217</v>
      </c>
      <c r="D193">
        <v>36.615912472374099</v>
      </c>
      <c r="E193">
        <v>41.974809032330903</v>
      </c>
      <c r="F193">
        <v>0.98933615469699598</v>
      </c>
      <c r="G193">
        <v>92.348763032064497</v>
      </c>
      <c r="H193">
        <v>87.160474499674805</v>
      </c>
      <c r="I193" t="str">
        <f t="shared" si="5"/>
        <v>shop</v>
      </c>
      <c r="J193">
        <v>422</v>
      </c>
      <c r="K193">
        <f t="shared" si="4"/>
        <v>94</v>
      </c>
    </row>
    <row r="194" spans="1:11" x14ac:dyDescent="0.2">
      <c r="A194" t="s">
        <v>90</v>
      </c>
      <c r="B194">
        <v>547.8466796875</v>
      </c>
      <c r="C194">
        <v>11.088868884749401</v>
      </c>
      <c r="D194">
        <v>36.9559900725829</v>
      </c>
      <c r="E194">
        <v>42.314933601291898</v>
      </c>
      <c r="F194">
        <v>0.98971626735849205</v>
      </c>
      <c r="G194">
        <v>93.018675894241994</v>
      </c>
      <c r="H194">
        <v>87.401372071350096</v>
      </c>
      <c r="I194" t="str">
        <f t="shared" si="5"/>
        <v>shop</v>
      </c>
      <c r="J194">
        <v>422</v>
      </c>
      <c r="K194">
        <f t="shared" ref="K194:K257" si="6">(MID(A194,FIND("gimp",A194)+4,FIND(".",A194)-FIND("gimp",A194)-4))+0</f>
        <v>95</v>
      </c>
    </row>
    <row r="195" spans="1:11" x14ac:dyDescent="0.2">
      <c r="A195" t="s">
        <v>91</v>
      </c>
      <c r="B195">
        <v>642.798828125</v>
      </c>
      <c r="C195">
        <v>9.4508573043301194</v>
      </c>
      <c r="D195">
        <v>37.359384681154502</v>
      </c>
      <c r="E195">
        <v>42.7239528573377</v>
      </c>
      <c r="F195">
        <v>0.99060883176216696</v>
      </c>
      <c r="G195">
        <v>93.824025154219399</v>
      </c>
      <c r="H195">
        <v>87.970828601381996</v>
      </c>
      <c r="I195" t="str">
        <f t="shared" ref="I195:I258" si="7">LEFT(A195,FIND("/",A195)-1)</f>
        <v>shop</v>
      </c>
      <c r="J195">
        <v>422</v>
      </c>
      <c r="K195">
        <f t="shared" si="6"/>
        <v>96</v>
      </c>
    </row>
    <row r="196" spans="1:11" x14ac:dyDescent="0.2">
      <c r="A196" t="s">
        <v>92</v>
      </c>
      <c r="B196">
        <v>736.4921875</v>
      </c>
      <c r="C196">
        <v>8.2485600025458492</v>
      </c>
      <c r="D196">
        <v>37.905773583148303</v>
      </c>
      <c r="E196">
        <v>43.270378435587197</v>
      </c>
      <c r="F196">
        <v>0.99184302521051404</v>
      </c>
      <c r="G196">
        <v>94.899577886553203</v>
      </c>
      <c r="H196">
        <v>88.767082633844694</v>
      </c>
      <c r="I196" t="str">
        <f t="shared" si="7"/>
        <v>shop</v>
      </c>
      <c r="J196">
        <v>422</v>
      </c>
      <c r="K196">
        <f t="shared" si="6"/>
        <v>97</v>
      </c>
    </row>
    <row r="197" spans="1:11" x14ac:dyDescent="0.2">
      <c r="A197" t="s">
        <v>93</v>
      </c>
      <c r="B197">
        <v>911.78515625</v>
      </c>
      <c r="C197">
        <v>6.6627537840003104</v>
      </c>
      <c r="D197">
        <v>38.258959318898398</v>
      </c>
      <c r="E197">
        <v>43.623888073098698</v>
      </c>
      <c r="F197">
        <v>0.992115829720842</v>
      </c>
      <c r="G197">
        <v>95.595241428878396</v>
      </c>
      <c r="H197">
        <v>88.944481605474294</v>
      </c>
      <c r="I197" t="str">
        <f t="shared" si="7"/>
        <v>shop</v>
      </c>
      <c r="J197">
        <v>422</v>
      </c>
      <c r="K197">
        <f t="shared" si="6"/>
        <v>98</v>
      </c>
    </row>
    <row r="198" spans="1:11" x14ac:dyDescent="0.2">
      <c r="A198" t="s">
        <v>94</v>
      </c>
      <c r="B198">
        <v>1302.0712890625</v>
      </c>
      <c r="C198">
        <v>4.6656431571991996</v>
      </c>
      <c r="D198">
        <v>38.108824365121301</v>
      </c>
      <c r="E198">
        <v>43.474843204226602</v>
      </c>
      <c r="F198">
        <v>0.99074196666568404</v>
      </c>
      <c r="G198">
        <v>95.3019530378577</v>
      </c>
      <c r="H198">
        <v>88.056226744404299</v>
      </c>
      <c r="I198" t="str">
        <f t="shared" si="7"/>
        <v>shop</v>
      </c>
      <c r="J198">
        <v>422</v>
      </c>
      <c r="K198">
        <f t="shared" si="6"/>
        <v>99</v>
      </c>
    </row>
    <row r="199" spans="1:11" x14ac:dyDescent="0.2">
      <c r="A199" t="s">
        <v>95</v>
      </c>
      <c r="B199">
        <v>1423.2490234375</v>
      </c>
      <c r="C199">
        <v>4.2684027179778896</v>
      </c>
      <c r="D199">
        <v>39.4989539514782</v>
      </c>
      <c r="E199">
        <v>44.865007487516102</v>
      </c>
      <c r="F199">
        <v>0.99461358712839498</v>
      </c>
      <c r="G199">
        <v>98.036921467147906</v>
      </c>
      <c r="H199">
        <v>90.592553042661606</v>
      </c>
      <c r="I199" t="str">
        <f t="shared" si="7"/>
        <v>shop</v>
      </c>
      <c r="J199">
        <v>422</v>
      </c>
      <c r="K199">
        <f t="shared" si="6"/>
        <v>100</v>
      </c>
    </row>
    <row r="200" spans="1:11" x14ac:dyDescent="0.2">
      <c r="A200" t="s">
        <v>96</v>
      </c>
      <c r="B200">
        <v>533.3623046875</v>
      </c>
      <c r="C200">
        <v>11.390006280176401</v>
      </c>
      <c r="D200">
        <v>32.594215289447099</v>
      </c>
      <c r="E200">
        <v>38.938497910851403</v>
      </c>
      <c r="F200">
        <v>0.97559276365195802</v>
      </c>
      <c r="G200">
        <v>86.348852533881299</v>
      </c>
      <c r="H200">
        <v>79.065111356856505</v>
      </c>
      <c r="I200" t="str">
        <f t="shared" si="7"/>
        <v>street</v>
      </c>
      <c r="J200">
        <v>422</v>
      </c>
      <c r="K200">
        <f t="shared" si="6"/>
        <v>90</v>
      </c>
    </row>
    <row r="201" spans="1:11" x14ac:dyDescent="0.2">
      <c r="A201" t="s">
        <v>97</v>
      </c>
      <c r="B201">
        <v>565.294921875</v>
      </c>
      <c r="C201">
        <v>10.7466028172518</v>
      </c>
      <c r="D201">
        <v>32.925362302810797</v>
      </c>
      <c r="E201">
        <v>39.269750399858097</v>
      </c>
      <c r="F201">
        <v>0.97718876250687903</v>
      </c>
      <c r="G201">
        <v>87.006378133906097</v>
      </c>
      <c r="H201">
        <v>79.946516025286897</v>
      </c>
      <c r="I201" t="str">
        <f t="shared" si="7"/>
        <v>street</v>
      </c>
      <c r="J201">
        <v>422</v>
      </c>
      <c r="K201">
        <f t="shared" si="6"/>
        <v>91</v>
      </c>
    </row>
    <row r="202" spans="1:11" x14ac:dyDescent="0.2">
      <c r="A202" t="s">
        <v>98</v>
      </c>
      <c r="B202">
        <v>595.1640625</v>
      </c>
      <c r="C202">
        <v>10.2072695291477</v>
      </c>
      <c r="D202">
        <v>33.269266033274498</v>
      </c>
      <c r="E202">
        <v>39.613811635085199</v>
      </c>
      <c r="F202">
        <v>0.97843189295486399</v>
      </c>
      <c r="G202">
        <v>87.688207979679007</v>
      </c>
      <c r="H202">
        <v>80.643317663707194</v>
      </c>
      <c r="I202" t="str">
        <f t="shared" si="7"/>
        <v>street</v>
      </c>
      <c r="J202">
        <v>422</v>
      </c>
      <c r="K202">
        <f t="shared" si="6"/>
        <v>92</v>
      </c>
    </row>
    <row r="203" spans="1:11" x14ac:dyDescent="0.2">
      <c r="A203" t="s">
        <v>99</v>
      </c>
      <c r="B203">
        <v>647.6787109375</v>
      </c>
      <c r="C203">
        <v>9.3796505850973197</v>
      </c>
      <c r="D203">
        <v>33.743897861425602</v>
      </c>
      <c r="E203">
        <v>40.081695579521202</v>
      </c>
      <c r="F203">
        <v>0.98025938741991303</v>
      </c>
      <c r="G203">
        <v>88.613940329704306</v>
      </c>
      <c r="H203">
        <v>81.6842750633093</v>
      </c>
      <c r="I203" t="str">
        <f t="shared" si="7"/>
        <v>street</v>
      </c>
      <c r="J203">
        <v>422</v>
      </c>
      <c r="K203">
        <f t="shared" si="6"/>
        <v>93</v>
      </c>
    </row>
    <row r="204" spans="1:11" x14ac:dyDescent="0.2">
      <c r="A204" t="s">
        <v>100</v>
      </c>
      <c r="B204">
        <v>711.90625</v>
      </c>
      <c r="C204">
        <v>8.5334269786225398</v>
      </c>
      <c r="D204">
        <v>34.2439069051091</v>
      </c>
      <c r="E204">
        <v>40.582014120303697</v>
      </c>
      <c r="F204">
        <v>0.98208352803395804</v>
      </c>
      <c r="G204">
        <v>89.6023729341955</v>
      </c>
      <c r="H204">
        <v>82.743383720810499</v>
      </c>
      <c r="I204" t="str">
        <f t="shared" si="7"/>
        <v>street</v>
      </c>
      <c r="J204">
        <v>422</v>
      </c>
      <c r="K204">
        <f t="shared" si="6"/>
        <v>94</v>
      </c>
    </row>
    <row r="205" spans="1:11" x14ac:dyDescent="0.2">
      <c r="A205" t="s">
        <v>101</v>
      </c>
      <c r="B205">
        <v>795.6689453125</v>
      </c>
      <c r="C205">
        <v>7.6350849631488797</v>
      </c>
      <c r="D205">
        <v>34.7559430587715</v>
      </c>
      <c r="E205">
        <v>41.094345588695298</v>
      </c>
      <c r="F205">
        <v>0.98353762272160195</v>
      </c>
      <c r="G205">
        <v>90.613345525472099</v>
      </c>
      <c r="H205">
        <v>83.602261980496905</v>
      </c>
      <c r="I205" t="str">
        <f t="shared" si="7"/>
        <v>street</v>
      </c>
      <c r="J205">
        <v>422</v>
      </c>
      <c r="K205">
        <f t="shared" si="6"/>
        <v>95</v>
      </c>
    </row>
    <row r="206" spans="1:11" x14ac:dyDescent="0.2">
      <c r="A206" t="s">
        <v>102</v>
      </c>
      <c r="B206">
        <v>913.28125</v>
      </c>
      <c r="C206">
        <v>6.6518391787852904</v>
      </c>
      <c r="D206">
        <v>35.419909453799903</v>
      </c>
      <c r="E206">
        <v>41.765082291707998</v>
      </c>
      <c r="F206">
        <v>0.98576626170796</v>
      </c>
      <c r="G206">
        <v>91.935566230077598</v>
      </c>
      <c r="H206">
        <v>84.944307022265093</v>
      </c>
      <c r="I206" t="str">
        <f t="shared" si="7"/>
        <v>street</v>
      </c>
      <c r="J206">
        <v>422</v>
      </c>
      <c r="K206">
        <f t="shared" si="6"/>
        <v>96</v>
      </c>
    </row>
    <row r="207" spans="1:11" x14ac:dyDescent="0.2">
      <c r="A207" t="s">
        <v>103</v>
      </c>
      <c r="B207">
        <v>1023.66796875</v>
      </c>
      <c r="C207">
        <v>5.9345414582212399</v>
      </c>
      <c r="D207">
        <v>36.2116227107472</v>
      </c>
      <c r="E207">
        <v>42.556730556626697</v>
      </c>
      <c r="F207">
        <v>0.98824612074849605</v>
      </c>
      <c r="G207">
        <v>93.494798949658303</v>
      </c>
      <c r="H207">
        <v>86.474965833042504</v>
      </c>
      <c r="I207" t="str">
        <f t="shared" si="7"/>
        <v>street</v>
      </c>
      <c r="J207">
        <v>422</v>
      </c>
      <c r="K207">
        <f t="shared" si="6"/>
        <v>97</v>
      </c>
    </row>
    <row r="208" spans="1:11" x14ac:dyDescent="0.2">
      <c r="A208" t="s">
        <v>104</v>
      </c>
      <c r="B208">
        <v>1227.390625</v>
      </c>
      <c r="C208">
        <v>4.9495245248430999</v>
      </c>
      <c r="D208">
        <v>36.8139991579705</v>
      </c>
      <c r="E208">
        <v>43.159720808882</v>
      </c>
      <c r="F208">
        <v>0.98944429475548201</v>
      </c>
      <c r="G208">
        <v>94.681792912844699</v>
      </c>
      <c r="H208">
        <v>87.228910842569107</v>
      </c>
      <c r="I208" t="str">
        <f t="shared" si="7"/>
        <v>street</v>
      </c>
      <c r="J208">
        <v>422</v>
      </c>
      <c r="K208">
        <f t="shared" si="6"/>
        <v>98</v>
      </c>
    </row>
    <row r="209" spans="1:11" x14ac:dyDescent="0.2">
      <c r="A209" t="s">
        <v>105</v>
      </c>
      <c r="B209">
        <v>1654.3642578125</v>
      </c>
      <c r="C209">
        <v>3.6721054455279001</v>
      </c>
      <c r="D209">
        <v>37.002803111202098</v>
      </c>
      <c r="E209">
        <v>43.349360580972302</v>
      </c>
      <c r="F209">
        <v>0.98872048643236099</v>
      </c>
      <c r="G209">
        <v>95.055014958995301</v>
      </c>
      <c r="H209">
        <v>86.772325274908297</v>
      </c>
      <c r="I209" t="str">
        <f t="shared" si="7"/>
        <v>street</v>
      </c>
      <c r="J209">
        <v>422</v>
      </c>
      <c r="K209">
        <f t="shared" si="6"/>
        <v>99</v>
      </c>
    </row>
    <row r="210" spans="1:11" x14ac:dyDescent="0.2">
      <c r="A210" t="s">
        <v>106</v>
      </c>
      <c r="B210">
        <v>1816.880859375</v>
      </c>
      <c r="C210">
        <v>3.3436424676133001</v>
      </c>
      <c r="D210">
        <v>38.520363095053803</v>
      </c>
      <c r="E210">
        <v>44.8670867271235</v>
      </c>
      <c r="F210">
        <v>0.99335338500029302</v>
      </c>
      <c r="G210">
        <v>98.041011335096698</v>
      </c>
      <c r="H210">
        <v>89.755646210158602</v>
      </c>
      <c r="I210" t="str">
        <f t="shared" si="7"/>
        <v>street</v>
      </c>
      <c r="J210">
        <v>422</v>
      </c>
      <c r="K210">
        <f t="shared" si="6"/>
        <v>100</v>
      </c>
    </row>
    <row r="211" spans="1:11" x14ac:dyDescent="0.2">
      <c r="A211" t="s">
        <v>107</v>
      </c>
      <c r="B211">
        <v>291.162109375</v>
      </c>
      <c r="C211">
        <v>20.864665436860601</v>
      </c>
      <c r="D211">
        <v>38.026509981801297</v>
      </c>
      <c r="E211">
        <v>42.689824574048799</v>
      </c>
      <c r="F211">
        <v>0.98485074392268002</v>
      </c>
      <c r="G211">
        <v>93.7568368008112</v>
      </c>
      <c r="H211">
        <v>84.389201619730301</v>
      </c>
      <c r="I211" t="str">
        <f t="shared" si="7"/>
        <v>wedding</v>
      </c>
      <c r="J211">
        <v>422</v>
      </c>
      <c r="K211">
        <f t="shared" si="6"/>
        <v>90</v>
      </c>
    </row>
    <row r="212" spans="1:11" x14ac:dyDescent="0.2">
      <c r="A212" t="s">
        <v>108</v>
      </c>
      <c r="B212">
        <v>312.7373046875</v>
      </c>
      <c r="C212">
        <v>19.425248951577402</v>
      </c>
      <c r="D212">
        <v>38.278255716303597</v>
      </c>
      <c r="E212">
        <v>42.941764033746303</v>
      </c>
      <c r="F212">
        <v>0.98569628575054702</v>
      </c>
      <c r="G212">
        <v>94.252794149998905</v>
      </c>
      <c r="H212">
        <v>84.901690195336201</v>
      </c>
      <c r="I212" t="str">
        <f t="shared" si="7"/>
        <v>wedding</v>
      </c>
      <c r="J212">
        <v>422</v>
      </c>
      <c r="K212">
        <f t="shared" si="6"/>
        <v>91</v>
      </c>
    </row>
    <row r="213" spans="1:11" x14ac:dyDescent="0.2">
      <c r="A213" t="s">
        <v>109</v>
      </c>
      <c r="B213">
        <v>330.3623046875</v>
      </c>
      <c r="C213">
        <v>18.388901862597599</v>
      </c>
      <c r="D213">
        <v>38.494798291628797</v>
      </c>
      <c r="E213">
        <v>43.158390660789998</v>
      </c>
      <c r="F213">
        <v>0.98635098470358795</v>
      </c>
      <c r="G213">
        <v>94.679174974957604</v>
      </c>
      <c r="H213">
        <v>85.301640697399307</v>
      </c>
      <c r="I213" t="str">
        <f t="shared" si="7"/>
        <v>wedding</v>
      </c>
      <c r="J213">
        <v>422</v>
      </c>
      <c r="K213">
        <f t="shared" si="6"/>
        <v>92</v>
      </c>
    </row>
    <row r="214" spans="1:11" x14ac:dyDescent="0.2">
      <c r="A214" t="s">
        <v>110</v>
      </c>
      <c r="B214">
        <v>368.4423828125</v>
      </c>
      <c r="C214">
        <v>16.488331102482199</v>
      </c>
      <c r="D214">
        <v>38.9062223972075</v>
      </c>
      <c r="E214">
        <v>43.564715625410201</v>
      </c>
      <c r="F214">
        <v>0.98727574204979296</v>
      </c>
      <c r="G214">
        <v>95.478804964010394</v>
      </c>
      <c r="H214">
        <v>85.871267180309403</v>
      </c>
      <c r="I214" t="str">
        <f t="shared" si="7"/>
        <v>wedding</v>
      </c>
      <c r="J214">
        <v>422</v>
      </c>
      <c r="K214">
        <f t="shared" si="6"/>
        <v>93</v>
      </c>
    </row>
    <row r="215" spans="1:11" x14ac:dyDescent="0.2">
      <c r="A215" t="s">
        <v>111</v>
      </c>
      <c r="B215">
        <v>412.68359375</v>
      </c>
      <c r="C215">
        <v>14.72072089127</v>
      </c>
      <c r="D215">
        <v>39.266903758718001</v>
      </c>
      <c r="E215">
        <v>43.925793228823302</v>
      </c>
      <c r="F215">
        <v>0.98819818064429699</v>
      </c>
      <c r="G215">
        <v>96.189272444863903</v>
      </c>
      <c r="H215">
        <v>86.4449964913115</v>
      </c>
      <c r="I215" t="str">
        <f t="shared" si="7"/>
        <v>wedding</v>
      </c>
      <c r="J215">
        <v>422</v>
      </c>
      <c r="K215">
        <f t="shared" si="6"/>
        <v>94</v>
      </c>
    </row>
    <row r="216" spans="1:11" x14ac:dyDescent="0.2">
      <c r="A216" t="s">
        <v>112</v>
      </c>
      <c r="B216">
        <v>471.4814453125</v>
      </c>
      <c r="C216">
        <v>12.884918506121601</v>
      </c>
      <c r="D216">
        <v>39.566468463314003</v>
      </c>
      <c r="E216">
        <v>44.225643640159603</v>
      </c>
      <c r="F216">
        <v>0.98878927181142096</v>
      </c>
      <c r="G216">
        <v>96.779198757363602</v>
      </c>
      <c r="H216">
        <v>86.815566847131805</v>
      </c>
      <c r="I216" t="str">
        <f t="shared" si="7"/>
        <v>wedding</v>
      </c>
      <c r="J216">
        <v>422</v>
      </c>
      <c r="K216">
        <f t="shared" si="6"/>
        <v>95</v>
      </c>
    </row>
    <row r="217" spans="1:11" x14ac:dyDescent="0.2">
      <c r="A217" t="s">
        <v>113</v>
      </c>
      <c r="B217">
        <v>558.255859375</v>
      </c>
      <c r="C217">
        <v>10.882107008785001</v>
      </c>
      <c r="D217">
        <v>40.024028939382703</v>
      </c>
      <c r="E217">
        <v>44.688554817840902</v>
      </c>
      <c r="F217">
        <v>0.99013995121937404</v>
      </c>
      <c r="G217">
        <v>97.689832243693502</v>
      </c>
      <c r="H217">
        <v>87.671017705107502</v>
      </c>
      <c r="I217" t="str">
        <f t="shared" si="7"/>
        <v>wedding</v>
      </c>
      <c r="J217">
        <v>422</v>
      </c>
      <c r="K217">
        <f t="shared" si="6"/>
        <v>96</v>
      </c>
    </row>
    <row r="218" spans="1:11" x14ac:dyDescent="0.2">
      <c r="A218" t="s">
        <v>114</v>
      </c>
      <c r="B218">
        <v>641.4931640625</v>
      </c>
      <c r="C218">
        <v>9.4700931207555605</v>
      </c>
      <c r="D218">
        <v>40.672251650303302</v>
      </c>
      <c r="E218">
        <v>45.336792653194102</v>
      </c>
      <c r="F218">
        <v>0.99155595148839404</v>
      </c>
      <c r="G218">
        <v>98.964883134319194</v>
      </c>
      <c r="H218">
        <v>88.580952295231995</v>
      </c>
      <c r="I218" t="str">
        <f t="shared" si="7"/>
        <v>wedding</v>
      </c>
      <c r="J218">
        <v>422</v>
      </c>
      <c r="K218">
        <f t="shared" si="6"/>
        <v>97</v>
      </c>
    </row>
    <row r="219" spans="1:11" x14ac:dyDescent="0.2">
      <c r="A219" t="s">
        <v>115</v>
      </c>
      <c r="B219">
        <v>795.1220703125</v>
      </c>
      <c r="C219">
        <v>7.6403362789469504</v>
      </c>
      <c r="D219">
        <v>41.023110908559801</v>
      </c>
      <c r="E219">
        <v>45.688035980830598</v>
      </c>
      <c r="F219">
        <v>0.99193013330691104</v>
      </c>
      <c r="G219">
        <v>99.655703744773504</v>
      </c>
      <c r="H219">
        <v>88.823671992994605</v>
      </c>
      <c r="I219" t="str">
        <f t="shared" si="7"/>
        <v>wedding</v>
      </c>
      <c r="J219">
        <v>422</v>
      </c>
      <c r="K219">
        <f t="shared" si="6"/>
        <v>98</v>
      </c>
    </row>
    <row r="220" spans="1:11" x14ac:dyDescent="0.2">
      <c r="A220" t="s">
        <v>116</v>
      </c>
      <c r="B220">
        <v>1173.125</v>
      </c>
      <c r="C220">
        <v>5.1784762919552501</v>
      </c>
      <c r="D220">
        <v>40.435089785464498</v>
      </c>
      <c r="E220">
        <v>45.100404215052102</v>
      </c>
      <c r="F220">
        <v>0.98924192726579996</v>
      </c>
      <c r="G220">
        <v>98.499936738911302</v>
      </c>
      <c r="H220">
        <v>87.100906022291795</v>
      </c>
      <c r="I220" t="str">
        <f t="shared" si="7"/>
        <v>wedding</v>
      </c>
      <c r="J220">
        <v>422</v>
      </c>
      <c r="K220">
        <f t="shared" si="6"/>
        <v>99</v>
      </c>
    </row>
    <row r="221" spans="1:11" x14ac:dyDescent="0.2">
      <c r="A221" t="s">
        <v>117</v>
      </c>
      <c r="B221">
        <v>1274.59765625</v>
      </c>
      <c r="C221">
        <v>4.76620992531344</v>
      </c>
      <c r="D221">
        <v>42.486873107846201</v>
      </c>
      <c r="E221">
        <v>47.1527180367274</v>
      </c>
      <c r="F221">
        <v>0.99419117463439799</v>
      </c>
      <c r="G221">
        <v>102.536144546683</v>
      </c>
      <c r="H221">
        <v>90.310792453655907</v>
      </c>
      <c r="I221" t="str">
        <f t="shared" si="7"/>
        <v>wedding</v>
      </c>
      <c r="J221">
        <v>422</v>
      </c>
      <c r="K221">
        <f t="shared" si="6"/>
        <v>100</v>
      </c>
    </row>
    <row r="222" spans="1:11" x14ac:dyDescent="0.2">
      <c r="A222" t="s">
        <v>8</v>
      </c>
      <c r="B222">
        <v>610.1298828125</v>
      </c>
      <c r="C222">
        <v>9.9568963447524101</v>
      </c>
      <c r="D222">
        <v>31.188848461900701</v>
      </c>
      <c r="E222">
        <v>38.765656649215899</v>
      </c>
      <c r="F222">
        <v>0.98409592539773605</v>
      </c>
      <c r="G222">
        <v>86.005275534693894</v>
      </c>
      <c r="H222">
        <v>83.935523549011805</v>
      </c>
      <c r="I222" t="str">
        <f t="shared" si="7"/>
        <v>bar</v>
      </c>
      <c r="J222">
        <v>444</v>
      </c>
      <c r="K222">
        <f t="shared" si="6"/>
        <v>90</v>
      </c>
    </row>
    <row r="223" spans="1:11" x14ac:dyDescent="0.2">
      <c r="A223" t="s">
        <v>9</v>
      </c>
      <c r="B223">
        <v>656.8935546875</v>
      </c>
      <c r="C223">
        <v>9.2480736896406697</v>
      </c>
      <c r="D223">
        <v>31.509681772572598</v>
      </c>
      <c r="E223">
        <v>39.0863054380563</v>
      </c>
      <c r="F223">
        <v>0.985053068354515</v>
      </c>
      <c r="G223">
        <v>86.642389903959398</v>
      </c>
      <c r="H223">
        <v>84.511418606556603</v>
      </c>
      <c r="I223" t="str">
        <f t="shared" si="7"/>
        <v>bar</v>
      </c>
      <c r="J223">
        <v>444</v>
      </c>
      <c r="K223">
        <f t="shared" si="6"/>
        <v>91</v>
      </c>
    </row>
    <row r="224" spans="1:11" x14ac:dyDescent="0.2">
      <c r="A224" t="s">
        <v>10</v>
      </c>
      <c r="B224">
        <v>699.0029296875</v>
      </c>
      <c r="C224">
        <v>8.6909506984697806</v>
      </c>
      <c r="D224">
        <v>31.8099920457908</v>
      </c>
      <c r="E224">
        <v>39.386333113895198</v>
      </c>
      <c r="F224">
        <v>0.98579612104029901</v>
      </c>
      <c r="G224">
        <v>87.2375286252351</v>
      </c>
      <c r="H224">
        <v>84.962501503522205</v>
      </c>
      <c r="I224" t="str">
        <f t="shared" si="7"/>
        <v>bar</v>
      </c>
      <c r="J224">
        <v>444</v>
      </c>
      <c r="K224">
        <f t="shared" si="6"/>
        <v>92</v>
      </c>
    </row>
    <row r="225" spans="1:11" x14ac:dyDescent="0.2">
      <c r="A225" t="s">
        <v>11</v>
      </c>
      <c r="B225">
        <v>766.1787109375</v>
      </c>
      <c r="C225">
        <v>7.9289595407403102</v>
      </c>
      <c r="D225">
        <v>32.3440216409521</v>
      </c>
      <c r="E225">
        <v>39.913271642092099</v>
      </c>
      <c r="F225">
        <v>0.98704687019088799</v>
      </c>
      <c r="G225">
        <v>88.280878205560001</v>
      </c>
      <c r="H225">
        <v>85.729773172003902</v>
      </c>
      <c r="I225" t="str">
        <f t="shared" si="7"/>
        <v>bar</v>
      </c>
      <c r="J225">
        <v>444</v>
      </c>
      <c r="K225">
        <f t="shared" si="6"/>
        <v>93</v>
      </c>
    </row>
    <row r="226" spans="1:11" x14ac:dyDescent="0.2">
      <c r="A226" t="s">
        <v>12</v>
      </c>
      <c r="B226">
        <v>854.15234375</v>
      </c>
      <c r="C226">
        <v>7.1123143833204496</v>
      </c>
      <c r="D226">
        <v>32.948244563020197</v>
      </c>
      <c r="E226">
        <v>40.517317548885799</v>
      </c>
      <c r="F226">
        <v>0.98844445829418404</v>
      </c>
      <c r="G226">
        <v>89.474629891880994</v>
      </c>
      <c r="H226">
        <v>86.599115124210599</v>
      </c>
      <c r="I226" t="str">
        <f t="shared" si="7"/>
        <v>bar</v>
      </c>
      <c r="J226">
        <v>444</v>
      </c>
      <c r="K226">
        <f t="shared" si="6"/>
        <v>94</v>
      </c>
    </row>
    <row r="227" spans="1:11" x14ac:dyDescent="0.2">
      <c r="A227" t="s">
        <v>13</v>
      </c>
      <c r="B227">
        <v>964.578125</v>
      </c>
      <c r="C227">
        <v>6.2980901624738799</v>
      </c>
      <c r="D227">
        <v>33.584189096139497</v>
      </c>
      <c r="E227">
        <v>41.152835882615797</v>
      </c>
      <c r="F227">
        <v>0.98969487434965397</v>
      </c>
      <c r="G227">
        <v>90.728700754828296</v>
      </c>
      <c r="H227">
        <v>87.387788657303005</v>
      </c>
      <c r="I227" t="str">
        <f t="shared" si="7"/>
        <v>bar</v>
      </c>
      <c r="J227">
        <v>444</v>
      </c>
      <c r="K227">
        <f t="shared" si="6"/>
        <v>95</v>
      </c>
    </row>
    <row r="228" spans="1:11" x14ac:dyDescent="0.2">
      <c r="A228" t="s">
        <v>14</v>
      </c>
      <c r="B228">
        <v>1121.0498046875</v>
      </c>
      <c r="C228">
        <v>5.4190277493455801</v>
      </c>
      <c r="D228">
        <v>34.547820216161902</v>
      </c>
      <c r="E228">
        <v>42.123333935343801</v>
      </c>
      <c r="F228">
        <v>0.99166346271163797</v>
      </c>
      <c r="G228">
        <v>92.641326120270605</v>
      </c>
      <c r="H228">
        <v>88.650593810218396</v>
      </c>
      <c r="I228" t="str">
        <f t="shared" si="7"/>
        <v>bar</v>
      </c>
      <c r="J228">
        <v>444</v>
      </c>
      <c r="K228">
        <f t="shared" si="6"/>
        <v>96</v>
      </c>
    </row>
    <row r="229" spans="1:11" x14ac:dyDescent="0.2">
      <c r="A229" t="s">
        <v>15</v>
      </c>
      <c r="B229">
        <v>1248.33203125</v>
      </c>
      <c r="C229">
        <v>4.86649372756772</v>
      </c>
      <c r="D229">
        <v>35.932624487308502</v>
      </c>
      <c r="E229">
        <v>43.508533669580999</v>
      </c>
      <c r="F229">
        <v>0.99383361609819798</v>
      </c>
      <c r="G229">
        <v>95.368250317363405</v>
      </c>
      <c r="H229">
        <v>90.073265496338294</v>
      </c>
      <c r="I229" t="str">
        <f t="shared" si="7"/>
        <v>bar</v>
      </c>
      <c r="J229">
        <v>444</v>
      </c>
      <c r="K229">
        <f t="shared" si="6"/>
        <v>97</v>
      </c>
    </row>
    <row r="230" spans="1:11" x14ac:dyDescent="0.2">
      <c r="A230" t="s">
        <v>16</v>
      </c>
      <c r="B230">
        <v>1508.080078125</v>
      </c>
      <c r="C230">
        <v>4.0283006772114298</v>
      </c>
      <c r="D230">
        <v>36.933353238033</v>
      </c>
      <c r="E230">
        <v>44.508881202993798</v>
      </c>
      <c r="F230">
        <v>0.99513353259962001</v>
      </c>
      <c r="G230">
        <v>97.336393128193805</v>
      </c>
      <c r="H230">
        <v>90.941090326487497</v>
      </c>
      <c r="I230" t="str">
        <f t="shared" si="7"/>
        <v>bar</v>
      </c>
      <c r="J230">
        <v>444</v>
      </c>
      <c r="K230">
        <f t="shared" si="6"/>
        <v>98</v>
      </c>
    </row>
    <row r="231" spans="1:11" x14ac:dyDescent="0.2">
      <c r="A231" t="s">
        <v>17</v>
      </c>
      <c r="B231">
        <v>2208.6240234375</v>
      </c>
      <c r="C231">
        <v>2.7505813282538099</v>
      </c>
      <c r="D231">
        <v>36.689360060829799</v>
      </c>
      <c r="E231">
        <v>44.264494725483402</v>
      </c>
      <c r="F231">
        <v>0.99369879659740801</v>
      </c>
      <c r="G231">
        <v>96.855630478970696</v>
      </c>
      <c r="H231">
        <v>89.983935753280505</v>
      </c>
      <c r="I231" t="str">
        <f t="shared" si="7"/>
        <v>bar</v>
      </c>
      <c r="J231">
        <v>444</v>
      </c>
      <c r="K231">
        <f t="shared" si="6"/>
        <v>99</v>
      </c>
    </row>
    <row r="232" spans="1:11" x14ac:dyDescent="0.2">
      <c r="A232" t="s">
        <v>18</v>
      </c>
      <c r="B232">
        <v>2472.6484375</v>
      </c>
      <c r="C232">
        <v>2.4568798005680899</v>
      </c>
      <c r="D232">
        <v>40.094524967820803</v>
      </c>
      <c r="E232">
        <v>47.670697313117898</v>
      </c>
      <c r="F232">
        <v>0.99728488901687595</v>
      </c>
      <c r="G232">
        <v>103.55473277354299</v>
      </c>
      <c r="H232">
        <v>92.403607357593302</v>
      </c>
      <c r="I232" t="str">
        <f t="shared" si="7"/>
        <v>bar</v>
      </c>
      <c r="J232">
        <v>444</v>
      </c>
      <c r="K232">
        <f t="shared" si="6"/>
        <v>100</v>
      </c>
    </row>
    <row r="233" spans="1:11" x14ac:dyDescent="0.2">
      <c r="A233" t="s">
        <v>19</v>
      </c>
      <c r="B233">
        <v>702.6513671875</v>
      </c>
      <c r="C233">
        <v>8.6458239230592806</v>
      </c>
      <c r="D233">
        <v>33.358521784744298</v>
      </c>
      <c r="E233">
        <v>38.695731865188002</v>
      </c>
      <c r="F233">
        <v>0.98318546234924797</v>
      </c>
      <c r="G233">
        <v>85.866170960409406</v>
      </c>
      <c r="H233">
        <v>83.393051576766098</v>
      </c>
      <c r="I233" t="str">
        <f t="shared" si="7"/>
        <v>building</v>
      </c>
      <c r="J233">
        <v>444</v>
      </c>
      <c r="K233">
        <f t="shared" si="6"/>
        <v>90</v>
      </c>
    </row>
    <row r="234" spans="1:11" x14ac:dyDescent="0.2">
      <c r="A234" t="s">
        <v>20</v>
      </c>
      <c r="B234">
        <v>741.8564453125</v>
      </c>
      <c r="C234">
        <v>8.1889158453573394</v>
      </c>
      <c r="D234">
        <v>33.8100016004732</v>
      </c>
      <c r="E234">
        <v>39.147286910722002</v>
      </c>
      <c r="F234">
        <v>0.98451282377932103</v>
      </c>
      <c r="G234">
        <v>86.763426406547197</v>
      </c>
      <c r="H234">
        <v>84.185653309188396</v>
      </c>
      <c r="I234" t="str">
        <f t="shared" si="7"/>
        <v>building</v>
      </c>
      <c r="J234">
        <v>444</v>
      </c>
      <c r="K234">
        <f t="shared" si="6"/>
        <v>91</v>
      </c>
    </row>
    <row r="235" spans="1:11" x14ac:dyDescent="0.2">
      <c r="A235" t="s">
        <v>21</v>
      </c>
      <c r="B235">
        <v>779.7607421875</v>
      </c>
      <c r="C235">
        <v>7.7908513103102797</v>
      </c>
      <c r="D235">
        <v>34.285321168930203</v>
      </c>
      <c r="E235">
        <v>39.6227266940015</v>
      </c>
      <c r="F235">
        <v>0.98548647865301497</v>
      </c>
      <c r="G235">
        <v>87.705861736669704</v>
      </c>
      <c r="H235">
        <v>84.774100546671903</v>
      </c>
      <c r="I235" t="str">
        <f t="shared" si="7"/>
        <v>building</v>
      </c>
      <c r="J235">
        <v>444</v>
      </c>
      <c r="K235">
        <f t="shared" si="6"/>
        <v>92</v>
      </c>
    </row>
    <row r="236" spans="1:11" x14ac:dyDescent="0.2">
      <c r="A236" t="s">
        <v>22</v>
      </c>
      <c r="B236">
        <v>844.4609375</v>
      </c>
      <c r="C236">
        <v>7.1939384407582496</v>
      </c>
      <c r="D236">
        <v>34.947308706715098</v>
      </c>
      <c r="E236">
        <v>40.279212700655201</v>
      </c>
      <c r="F236">
        <v>0.98692024622637398</v>
      </c>
      <c r="G236">
        <v>89.0043160910393</v>
      </c>
      <c r="H236">
        <v>85.651637054551898</v>
      </c>
      <c r="I236" t="str">
        <f t="shared" si="7"/>
        <v>building</v>
      </c>
      <c r="J236">
        <v>444</v>
      </c>
      <c r="K236">
        <f t="shared" si="6"/>
        <v>93</v>
      </c>
    </row>
    <row r="237" spans="1:11" x14ac:dyDescent="0.2">
      <c r="A237" t="s">
        <v>23</v>
      </c>
      <c r="B237">
        <v>923.783203125</v>
      </c>
      <c r="C237">
        <v>6.5762182939128104</v>
      </c>
      <c r="D237">
        <v>35.646952745373902</v>
      </c>
      <c r="E237">
        <v>40.97900762327</v>
      </c>
      <c r="F237">
        <v>0.98828059804522805</v>
      </c>
      <c r="G237">
        <v>90.385839996033894</v>
      </c>
      <c r="H237">
        <v>86.4965283361594</v>
      </c>
      <c r="I237" t="str">
        <f t="shared" si="7"/>
        <v>building</v>
      </c>
      <c r="J237">
        <v>444</v>
      </c>
      <c r="K237">
        <f t="shared" si="6"/>
        <v>94</v>
      </c>
    </row>
    <row r="238" spans="1:11" x14ac:dyDescent="0.2">
      <c r="A238" t="s">
        <v>24</v>
      </c>
      <c r="B238">
        <v>1031.982421875</v>
      </c>
      <c r="C238">
        <v>5.8867281760113599</v>
      </c>
      <c r="D238">
        <v>36.313586012084897</v>
      </c>
      <c r="E238">
        <v>41.645633689686797</v>
      </c>
      <c r="F238">
        <v>0.98917551644186497</v>
      </c>
      <c r="G238">
        <v>91.700187305803595</v>
      </c>
      <c r="H238">
        <v>87.058957946920401</v>
      </c>
      <c r="I238" t="str">
        <f t="shared" si="7"/>
        <v>building</v>
      </c>
      <c r="J238">
        <v>444</v>
      </c>
      <c r="K238">
        <f t="shared" si="6"/>
        <v>95</v>
      </c>
    </row>
    <row r="239" spans="1:11" x14ac:dyDescent="0.2">
      <c r="A239" t="s">
        <v>25</v>
      </c>
      <c r="B239">
        <v>1185.8076171875</v>
      </c>
      <c r="C239">
        <v>5.1230907205746297</v>
      </c>
      <c r="D239">
        <v>37.196363360301</v>
      </c>
      <c r="E239">
        <v>42.534081255340098</v>
      </c>
      <c r="F239">
        <v>0.99067595598193603</v>
      </c>
      <c r="G239">
        <v>93.450204033931797</v>
      </c>
      <c r="H239">
        <v>88.0138698948967</v>
      </c>
      <c r="I239" t="str">
        <f t="shared" si="7"/>
        <v>building</v>
      </c>
      <c r="J239">
        <v>444</v>
      </c>
      <c r="K239">
        <f t="shared" si="6"/>
        <v>96</v>
      </c>
    </row>
    <row r="240" spans="1:11" x14ac:dyDescent="0.2">
      <c r="A240" t="s">
        <v>26</v>
      </c>
      <c r="B240">
        <v>1320.1171875</v>
      </c>
      <c r="C240">
        <v>4.6018641810918801</v>
      </c>
      <c r="D240">
        <v>38.441225817430002</v>
      </c>
      <c r="E240">
        <v>43.779316494472098</v>
      </c>
      <c r="F240">
        <v>0.99253534341466598</v>
      </c>
      <c r="G240">
        <v>95.901072110246503</v>
      </c>
      <c r="H240">
        <v>89.218275384776504</v>
      </c>
      <c r="I240" t="str">
        <f t="shared" si="7"/>
        <v>building</v>
      </c>
      <c r="J240">
        <v>444</v>
      </c>
      <c r="K240">
        <f t="shared" si="6"/>
        <v>97</v>
      </c>
    </row>
    <row r="241" spans="1:11" x14ac:dyDescent="0.2">
      <c r="A241" t="s">
        <v>27</v>
      </c>
      <c r="B241">
        <v>1614.3994140625</v>
      </c>
      <c r="C241">
        <v>3.76300929440551</v>
      </c>
      <c r="D241">
        <v>39.085133280078303</v>
      </c>
      <c r="E241">
        <v>44.423043270297001</v>
      </c>
      <c r="F241">
        <v>0.99266121033822996</v>
      </c>
      <c r="G241">
        <v>97.167534340761307</v>
      </c>
      <c r="H241">
        <v>89.300657244361403</v>
      </c>
      <c r="I241" t="str">
        <f t="shared" si="7"/>
        <v>building</v>
      </c>
      <c r="J241">
        <v>444</v>
      </c>
      <c r="K241">
        <f t="shared" si="6"/>
        <v>98</v>
      </c>
    </row>
    <row r="242" spans="1:11" x14ac:dyDescent="0.2">
      <c r="A242" t="s">
        <v>28</v>
      </c>
      <c r="B242">
        <v>2319.0576171875</v>
      </c>
      <c r="C242">
        <v>2.6195985623537998</v>
      </c>
      <c r="D242">
        <v>38.981660911997103</v>
      </c>
      <c r="E242">
        <v>44.318817735007599</v>
      </c>
      <c r="F242">
        <v>0.98950683793852201</v>
      </c>
      <c r="G242">
        <v>96.9624986889729</v>
      </c>
      <c r="H242">
        <v>87.268526696190506</v>
      </c>
      <c r="I242" t="str">
        <f t="shared" si="7"/>
        <v>building</v>
      </c>
      <c r="J242">
        <v>444</v>
      </c>
      <c r="K242">
        <f t="shared" si="6"/>
        <v>99</v>
      </c>
    </row>
    <row r="243" spans="1:11" x14ac:dyDescent="0.2">
      <c r="A243" t="s">
        <v>29</v>
      </c>
      <c r="B243">
        <v>2600.533203125</v>
      </c>
      <c r="C243">
        <v>2.3360593868595201</v>
      </c>
      <c r="D243">
        <v>42.397407116182201</v>
      </c>
      <c r="E243">
        <v>47.735518139858897</v>
      </c>
      <c r="F243">
        <v>0.99554057453803602</v>
      </c>
      <c r="G243">
        <v>103.682199004102</v>
      </c>
      <c r="H243">
        <v>91.215274989584003</v>
      </c>
      <c r="I243" t="str">
        <f t="shared" si="7"/>
        <v>building</v>
      </c>
      <c r="J243">
        <v>444</v>
      </c>
      <c r="K243">
        <f t="shared" si="6"/>
        <v>100</v>
      </c>
    </row>
    <row r="244" spans="1:11" x14ac:dyDescent="0.2">
      <c r="A244" t="s">
        <v>30</v>
      </c>
      <c r="B244">
        <v>291.3603515625</v>
      </c>
      <c r="C244">
        <v>20.850469075223</v>
      </c>
      <c r="D244">
        <v>31.5852894151386</v>
      </c>
      <c r="E244">
        <v>42.089076261767197</v>
      </c>
      <c r="F244">
        <v>0.98955696729293896</v>
      </c>
      <c r="G244">
        <v>92.573849507559203</v>
      </c>
      <c r="H244">
        <v>87.300298205458105</v>
      </c>
      <c r="I244" t="str">
        <f t="shared" si="7"/>
        <v>character</v>
      </c>
      <c r="J244">
        <v>444</v>
      </c>
      <c r="K244">
        <f t="shared" si="6"/>
        <v>90</v>
      </c>
    </row>
    <row r="245" spans="1:11" x14ac:dyDescent="0.2">
      <c r="A245" t="s">
        <v>31</v>
      </c>
      <c r="B245">
        <v>319.322265625</v>
      </c>
      <c r="C245">
        <v>19.024667722777099</v>
      </c>
      <c r="D245">
        <v>31.787696022252199</v>
      </c>
      <c r="E245">
        <v>42.291506575383103</v>
      </c>
      <c r="F245">
        <v>0.98987217888159196</v>
      </c>
      <c r="G245">
        <v>92.972540578092307</v>
      </c>
      <c r="H245">
        <v>87.500459666933196</v>
      </c>
      <c r="I245" t="str">
        <f t="shared" si="7"/>
        <v>character</v>
      </c>
      <c r="J245">
        <v>444</v>
      </c>
      <c r="K245">
        <f t="shared" si="6"/>
        <v>91</v>
      </c>
    </row>
    <row r="246" spans="1:11" x14ac:dyDescent="0.2">
      <c r="A246" t="s">
        <v>32</v>
      </c>
      <c r="B246">
        <v>340.7548828125</v>
      </c>
      <c r="C246">
        <v>17.828064413511999</v>
      </c>
      <c r="D246">
        <v>31.946872909636301</v>
      </c>
      <c r="E246">
        <v>42.450506190827902</v>
      </c>
      <c r="F246">
        <v>0.990003977505299</v>
      </c>
      <c r="G246">
        <v>93.285643711051307</v>
      </c>
      <c r="H246">
        <v>87.584349136087198</v>
      </c>
      <c r="I246" t="str">
        <f t="shared" si="7"/>
        <v>character</v>
      </c>
      <c r="J246">
        <v>444</v>
      </c>
      <c r="K246">
        <f t="shared" si="6"/>
        <v>92</v>
      </c>
    </row>
    <row r="247" spans="1:11" x14ac:dyDescent="0.2">
      <c r="A247" t="s">
        <v>33</v>
      </c>
      <c r="B247">
        <v>384.4912109375</v>
      </c>
      <c r="C247">
        <v>15.8001010873237</v>
      </c>
      <c r="D247">
        <v>32.307223981892001</v>
      </c>
      <c r="E247">
        <v>42.801992309134498</v>
      </c>
      <c r="F247">
        <v>0.99062818905761596</v>
      </c>
      <c r="G247">
        <v>93.977655552813303</v>
      </c>
      <c r="H247">
        <v>87.983237747414904</v>
      </c>
      <c r="I247" t="str">
        <f t="shared" si="7"/>
        <v>character</v>
      </c>
      <c r="J247">
        <v>444</v>
      </c>
      <c r="K247">
        <f t="shared" si="6"/>
        <v>93</v>
      </c>
    </row>
    <row r="248" spans="1:11" x14ac:dyDescent="0.2">
      <c r="A248" t="s">
        <v>34</v>
      </c>
      <c r="B248">
        <v>440.810546875</v>
      </c>
      <c r="C248">
        <v>13.7814306918629</v>
      </c>
      <c r="D248">
        <v>32.635341065658203</v>
      </c>
      <c r="E248">
        <v>43.130073557932199</v>
      </c>
      <c r="F248">
        <v>0.99096341653067899</v>
      </c>
      <c r="G248">
        <v>94.623442075734999</v>
      </c>
      <c r="H248">
        <v>88.198538222350606</v>
      </c>
      <c r="I248" t="str">
        <f t="shared" si="7"/>
        <v>character</v>
      </c>
      <c r="J248">
        <v>444</v>
      </c>
      <c r="K248">
        <f t="shared" si="6"/>
        <v>94</v>
      </c>
    </row>
    <row r="249" spans="1:11" x14ac:dyDescent="0.2">
      <c r="A249" t="s">
        <v>35</v>
      </c>
      <c r="B249">
        <v>520.759765625</v>
      </c>
      <c r="C249">
        <v>11.665647772747899</v>
      </c>
      <c r="D249">
        <v>32.928205409271797</v>
      </c>
      <c r="E249">
        <v>43.422772637795198</v>
      </c>
      <c r="F249">
        <v>0.99109874395268405</v>
      </c>
      <c r="G249">
        <v>95.199484772990601</v>
      </c>
      <c r="H249">
        <v>88.2856673191461</v>
      </c>
      <c r="I249" t="str">
        <f t="shared" si="7"/>
        <v>character</v>
      </c>
      <c r="J249">
        <v>444</v>
      </c>
      <c r="K249">
        <f t="shared" si="6"/>
        <v>95</v>
      </c>
    </row>
    <row r="250" spans="1:11" x14ac:dyDescent="0.2">
      <c r="A250" t="s">
        <v>36</v>
      </c>
      <c r="B250">
        <v>648.1611328125</v>
      </c>
      <c r="C250">
        <v>9.3726693756525705</v>
      </c>
      <c r="D250">
        <v>33.465643578767398</v>
      </c>
      <c r="E250">
        <v>43.9682943119833</v>
      </c>
      <c r="F250">
        <v>0.99172916621375895</v>
      </c>
      <c r="G250">
        <v>96.272892664208001</v>
      </c>
      <c r="H250">
        <v>88.693192635614395</v>
      </c>
      <c r="I250" t="str">
        <f t="shared" si="7"/>
        <v>character</v>
      </c>
      <c r="J250">
        <v>444</v>
      </c>
      <c r="K250">
        <f t="shared" si="6"/>
        <v>96</v>
      </c>
    </row>
    <row r="251" spans="1:11" x14ac:dyDescent="0.2">
      <c r="A251" t="s">
        <v>37</v>
      </c>
      <c r="B251">
        <v>752.4697265625</v>
      </c>
      <c r="C251">
        <v>8.0734144983511307</v>
      </c>
      <c r="D251">
        <v>34.353332819160698</v>
      </c>
      <c r="E251">
        <v>44.856065536483598</v>
      </c>
      <c r="F251">
        <v>0.99291108946459306</v>
      </c>
      <c r="G251">
        <v>98.019332614076404</v>
      </c>
      <c r="H251">
        <v>89.4645298432647</v>
      </c>
      <c r="I251" t="str">
        <f t="shared" si="7"/>
        <v>character</v>
      </c>
      <c r="J251">
        <v>444</v>
      </c>
      <c r="K251">
        <f t="shared" si="6"/>
        <v>97</v>
      </c>
    </row>
    <row r="252" spans="1:11" x14ac:dyDescent="0.2">
      <c r="A252" t="s">
        <v>38</v>
      </c>
      <c r="B252">
        <v>989.1728515625</v>
      </c>
      <c r="C252">
        <v>6.1414948766577204</v>
      </c>
      <c r="D252">
        <v>34.918709103952501</v>
      </c>
      <c r="E252">
        <v>45.420821481449501</v>
      </c>
      <c r="F252">
        <v>0.99356532239376705</v>
      </c>
      <c r="G252">
        <v>99.130153056137502</v>
      </c>
      <c r="H252">
        <v>89.895621814923501</v>
      </c>
      <c r="I252" t="str">
        <f t="shared" si="7"/>
        <v>character</v>
      </c>
      <c r="J252">
        <v>444</v>
      </c>
      <c r="K252">
        <f t="shared" si="6"/>
        <v>98</v>
      </c>
    </row>
    <row r="253" spans="1:11" x14ac:dyDescent="0.2">
      <c r="A253" t="s">
        <v>39</v>
      </c>
      <c r="B253">
        <v>1677.1953125</v>
      </c>
      <c r="C253">
        <v>3.62211839892678</v>
      </c>
      <c r="D253">
        <v>34.041782875228897</v>
      </c>
      <c r="E253">
        <v>44.542849079370001</v>
      </c>
      <c r="F253">
        <v>0.99081084221308602</v>
      </c>
      <c r="G253">
        <v>97.403213097216593</v>
      </c>
      <c r="H253">
        <v>88.100453168928198</v>
      </c>
      <c r="I253" t="str">
        <f t="shared" si="7"/>
        <v>character</v>
      </c>
      <c r="J253">
        <v>444</v>
      </c>
      <c r="K253">
        <f t="shared" si="6"/>
        <v>99</v>
      </c>
    </row>
    <row r="254" spans="1:11" x14ac:dyDescent="0.2">
      <c r="A254" t="s">
        <v>40</v>
      </c>
      <c r="B254">
        <v>1890.2099609375</v>
      </c>
      <c r="C254">
        <v>3.2139286775247702</v>
      </c>
      <c r="D254">
        <v>37.455178973020097</v>
      </c>
      <c r="E254">
        <v>47.957920094516503</v>
      </c>
      <c r="F254">
        <v>0.99588405034766203</v>
      </c>
      <c r="G254">
        <v>104.119536561936</v>
      </c>
      <c r="H254">
        <v>91.447554360321604</v>
      </c>
      <c r="I254" t="str">
        <f t="shared" si="7"/>
        <v>character</v>
      </c>
      <c r="J254">
        <v>444</v>
      </c>
      <c r="K254">
        <f t="shared" si="6"/>
        <v>100</v>
      </c>
    </row>
    <row r="255" spans="1:11" x14ac:dyDescent="0.2">
      <c r="A255" t="s">
        <v>41</v>
      </c>
      <c r="B255">
        <v>515.3193359375</v>
      </c>
      <c r="C255">
        <v>11.788806622107399</v>
      </c>
      <c r="D255">
        <v>31.970936867946801</v>
      </c>
      <c r="E255">
        <v>38.911530085749199</v>
      </c>
      <c r="F255">
        <v>0.98998458363126696</v>
      </c>
      <c r="G255">
        <v>86.295269163555204</v>
      </c>
      <c r="H255">
        <v>87.571997707004599</v>
      </c>
      <c r="I255" t="str">
        <f t="shared" si="7"/>
        <v>earth</v>
      </c>
      <c r="J255">
        <v>444</v>
      </c>
      <c r="K255">
        <f t="shared" si="6"/>
        <v>90</v>
      </c>
    </row>
    <row r="256" spans="1:11" x14ac:dyDescent="0.2">
      <c r="A256" t="s">
        <v>42</v>
      </c>
      <c r="B256">
        <v>547.248046875</v>
      </c>
      <c r="C256">
        <v>11.1009989614227</v>
      </c>
      <c r="D256">
        <v>32.372905304591299</v>
      </c>
      <c r="E256">
        <v>39.313390597390899</v>
      </c>
      <c r="F256">
        <v>0.990707108330384</v>
      </c>
      <c r="G256">
        <v>87.0929191695284</v>
      </c>
      <c r="H256">
        <v>88.033855659919894</v>
      </c>
      <c r="I256" t="str">
        <f t="shared" si="7"/>
        <v>earth</v>
      </c>
      <c r="J256">
        <v>444</v>
      </c>
      <c r="K256">
        <f t="shared" si="6"/>
        <v>91</v>
      </c>
    </row>
    <row r="257" spans="1:11" x14ac:dyDescent="0.2">
      <c r="A257" t="s">
        <v>43</v>
      </c>
      <c r="B257">
        <v>584.052734375</v>
      </c>
      <c r="C257">
        <v>10.401458023308299</v>
      </c>
      <c r="D257">
        <v>32.751902216844599</v>
      </c>
      <c r="E257">
        <v>39.691895729547802</v>
      </c>
      <c r="F257">
        <v>0.99124473804884905</v>
      </c>
      <c r="G257">
        <v>87.842810409925306</v>
      </c>
      <c r="H257">
        <v>88.379802884321606</v>
      </c>
      <c r="I257" t="str">
        <f t="shared" si="7"/>
        <v>earth</v>
      </c>
      <c r="J257">
        <v>444</v>
      </c>
      <c r="K257">
        <f t="shared" si="6"/>
        <v>92</v>
      </c>
    </row>
    <row r="258" spans="1:11" x14ac:dyDescent="0.2">
      <c r="A258" t="s">
        <v>44</v>
      </c>
      <c r="B258">
        <v>634.9267578125</v>
      </c>
      <c r="C258">
        <v>9.5680327301531207</v>
      </c>
      <c r="D258">
        <v>33.383733453415999</v>
      </c>
      <c r="E258">
        <v>40.319325673517</v>
      </c>
      <c r="F258">
        <v>0.99218496820721402</v>
      </c>
      <c r="G258">
        <v>89.083569258279496</v>
      </c>
      <c r="H258">
        <v>88.989521618375406</v>
      </c>
      <c r="I258" t="str">
        <f t="shared" si="7"/>
        <v>earth</v>
      </c>
      <c r="J258">
        <v>444</v>
      </c>
      <c r="K258">
        <f t="shared" ref="K258:K321" si="8">(MID(A258,FIND("gimp",A258)+4,FIND(".",A258)-FIND("gimp",A258)-4))+0</f>
        <v>93</v>
      </c>
    </row>
    <row r="259" spans="1:11" x14ac:dyDescent="0.2">
      <c r="A259" t="s">
        <v>45</v>
      </c>
      <c r="B259">
        <v>702.5146484375</v>
      </c>
      <c r="C259">
        <v>8.6475065160729798</v>
      </c>
      <c r="D259">
        <v>34.028876726403801</v>
      </c>
      <c r="E259">
        <v>40.964196992438602</v>
      </c>
      <c r="F259">
        <v>0.99302714918231905</v>
      </c>
      <c r="G259">
        <v>90.356622393563498</v>
      </c>
      <c r="H259">
        <v>89.540788952772303</v>
      </c>
      <c r="I259" t="str">
        <f t="shared" ref="I259:I322" si="9">LEFT(A259,FIND("/",A259)-1)</f>
        <v>earth</v>
      </c>
      <c r="J259">
        <v>444</v>
      </c>
      <c r="K259">
        <f t="shared" si="8"/>
        <v>94</v>
      </c>
    </row>
    <row r="260" spans="1:11" x14ac:dyDescent="0.2">
      <c r="A260" t="s">
        <v>46</v>
      </c>
      <c r="B260">
        <v>806.78515625</v>
      </c>
      <c r="C260">
        <v>7.5298856863419097</v>
      </c>
      <c r="D260">
        <v>34.669360006644503</v>
      </c>
      <c r="E260">
        <v>41.603846486570902</v>
      </c>
      <c r="F260">
        <v>0.99369978986263996</v>
      </c>
      <c r="G260">
        <v>91.617835413689804</v>
      </c>
      <c r="H260">
        <v>89.984593416524106</v>
      </c>
      <c r="I260" t="str">
        <f t="shared" si="9"/>
        <v>earth</v>
      </c>
      <c r="J260">
        <v>444</v>
      </c>
      <c r="K260">
        <f t="shared" si="8"/>
        <v>95</v>
      </c>
    </row>
    <row r="261" spans="1:11" x14ac:dyDescent="0.2">
      <c r="A261" t="s">
        <v>47</v>
      </c>
      <c r="B261">
        <v>938.8896484375</v>
      </c>
      <c r="C261">
        <v>6.4704089667087201</v>
      </c>
      <c r="D261">
        <v>35.539335822857403</v>
      </c>
      <c r="E261">
        <v>42.4778665907115</v>
      </c>
      <c r="F261">
        <v>0.994664585390588</v>
      </c>
      <c r="G261">
        <v>93.339517863457701</v>
      </c>
      <c r="H261">
        <v>90.626654856783702</v>
      </c>
      <c r="I261" t="str">
        <f t="shared" si="9"/>
        <v>earth</v>
      </c>
      <c r="J261">
        <v>444</v>
      </c>
      <c r="K261">
        <f t="shared" si="8"/>
        <v>96</v>
      </c>
    </row>
    <row r="262" spans="1:11" x14ac:dyDescent="0.2">
      <c r="A262" t="s">
        <v>48</v>
      </c>
      <c r="B262">
        <v>1050.521484375</v>
      </c>
      <c r="C262">
        <v>5.7828422267958404</v>
      </c>
      <c r="D262">
        <v>36.890138074477697</v>
      </c>
      <c r="E262">
        <v>43.828513284507501</v>
      </c>
      <c r="F262">
        <v>0.99593673815192996</v>
      </c>
      <c r="G262">
        <v>95.997870977960403</v>
      </c>
      <c r="H262">
        <v>91.4832592171567</v>
      </c>
      <c r="I262" t="str">
        <f t="shared" si="9"/>
        <v>earth</v>
      </c>
      <c r="J262">
        <v>444</v>
      </c>
      <c r="K262">
        <f t="shared" si="8"/>
        <v>97</v>
      </c>
    </row>
    <row r="263" spans="1:11" x14ac:dyDescent="0.2">
      <c r="A263" t="s">
        <v>49</v>
      </c>
      <c r="B263">
        <v>1333.9677734375</v>
      </c>
      <c r="C263">
        <v>4.5540830303159003</v>
      </c>
      <c r="D263">
        <v>37.633918606617797</v>
      </c>
      <c r="E263">
        <v>44.571528685071399</v>
      </c>
      <c r="F263">
        <v>0.99628350422302103</v>
      </c>
      <c r="G263">
        <v>97.459629803012803</v>
      </c>
      <c r="H263">
        <v>91.718744880381607</v>
      </c>
      <c r="I263" t="str">
        <f t="shared" si="9"/>
        <v>earth</v>
      </c>
      <c r="J263">
        <v>444</v>
      </c>
      <c r="K263">
        <f t="shared" si="8"/>
        <v>98</v>
      </c>
    </row>
    <row r="264" spans="1:11" x14ac:dyDescent="0.2">
      <c r="A264" t="s">
        <v>50</v>
      </c>
      <c r="B264">
        <v>1888.60546875</v>
      </c>
      <c r="C264">
        <v>3.2166591172802401</v>
      </c>
      <c r="D264">
        <v>38.254221736555799</v>
      </c>
      <c r="E264">
        <v>45.191477011676803</v>
      </c>
      <c r="F264">
        <v>0.99634486167049596</v>
      </c>
      <c r="G264">
        <v>98.679067677604294</v>
      </c>
      <c r="H264">
        <v>91.760501480573097</v>
      </c>
      <c r="I264" t="str">
        <f t="shared" si="9"/>
        <v>earth</v>
      </c>
      <c r="J264">
        <v>444</v>
      </c>
      <c r="K264">
        <f t="shared" si="8"/>
        <v>99</v>
      </c>
    </row>
    <row r="265" spans="1:11" x14ac:dyDescent="0.2">
      <c r="A265" t="s">
        <v>51</v>
      </c>
      <c r="B265">
        <v>2153.26953125</v>
      </c>
      <c r="C265">
        <v>2.8212910236431901</v>
      </c>
      <c r="D265">
        <v>41.672688227939297</v>
      </c>
      <c r="E265">
        <v>48.609542310757298</v>
      </c>
      <c r="F265">
        <v>0.99849433258208597</v>
      </c>
      <c r="G265">
        <v>105.40088697506999</v>
      </c>
      <c r="H265">
        <v>93.240419340814199</v>
      </c>
      <c r="I265" t="str">
        <f t="shared" si="9"/>
        <v>earth</v>
      </c>
      <c r="J265">
        <v>444</v>
      </c>
      <c r="K265">
        <f t="shared" si="8"/>
        <v>100</v>
      </c>
    </row>
    <row r="266" spans="1:11" x14ac:dyDescent="0.2">
      <c r="A266" t="s">
        <v>52</v>
      </c>
      <c r="B266">
        <v>279.693359375</v>
      </c>
      <c r="C266">
        <v>21.720215358616802</v>
      </c>
      <c r="D266">
        <v>36.785537704079303</v>
      </c>
      <c r="E266">
        <v>42.723002508721201</v>
      </c>
      <c r="F266">
        <v>0.98731485982745204</v>
      </c>
      <c r="G266">
        <v>93.822154224319405</v>
      </c>
      <c r="H266">
        <v>85.895484724291904</v>
      </c>
      <c r="I266" t="str">
        <f t="shared" si="9"/>
        <v>flower</v>
      </c>
      <c r="J266">
        <v>444</v>
      </c>
      <c r="K266">
        <f t="shared" si="8"/>
        <v>90</v>
      </c>
    </row>
    <row r="267" spans="1:11" x14ac:dyDescent="0.2">
      <c r="A267" t="s">
        <v>53</v>
      </c>
      <c r="B267">
        <v>308.8095703125</v>
      </c>
      <c r="C267">
        <v>19.6723177777567</v>
      </c>
      <c r="D267">
        <v>36.944885311699601</v>
      </c>
      <c r="E267">
        <v>42.882481299906203</v>
      </c>
      <c r="F267">
        <v>0.98778582696254102</v>
      </c>
      <c r="G267">
        <v>94.136099917482099</v>
      </c>
      <c r="H267">
        <v>86.187838544146402</v>
      </c>
      <c r="I267" t="str">
        <f t="shared" si="9"/>
        <v>flower</v>
      </c>
      <c r="J267">
        <v>444</v>
      </c>
      <c r="K267">
        <f t="shared" si="8"/>
        <v>91</v>
      </c>
    </row>
    <row r="268" spans="1:11" x14ac:dyDescent="0.2">
      <c r="A268" t="s">
        <v>54</v>
      </c>
      <c r="B268">
        <v>325.2685546875</v>
      </c>
      <c r="C268">
        <v>18.6768745777978</v>
      </c>
      <c r="D268">
        <v>36.990776673852601</v>
      </c>
      <c r="E268">
        <v>42.928349956825798</v>
      </c>
      <c r="F268">
        <v>0.98787131107194204</v>
      </c>
      <c r="G268">
        <v>94.226389778925693</v>
      </c>
      <c r="H268">
        <v>86.241058019199002</v>
      </c>
      <c r="I268" t="str">
        <f t="shared" si="9"/>
        <v>flower</v>
      </c>
      <c r="J268">
        <v>444</v>
      </c>
      <c r="K268">
        <f t="shared" si="8"/>
        <v>92</v>
      </c>
    </row>
    <row r="269" spans="1:11" x14ac:dyDescent="0.2">
      <c r="A269" t="s">
        <v>55</v>
      </c>
      <c r="B269">
        <v>371.392578125</v>
      </c>
      <c r="C269">
        <v>16.357354340978102</v>
      </c>
      <c r="D269">
        <v>37.253112194030898</v>
      </c>
      <c r="E269">
        <v>43.183726699078697</v>
      </c>
      <c r="F269">
        <v>0.98832272108670804</v>
      </c>
      <c r="G269">
        <v>94.729039910737995</v>
      </c>
      <c r="H269">
        <v>86.522883163903998</v>
      </c>
      <c r="I269" t="str">
        <f t="shared" si="9"/>
        <v>flower</v>
      </c>
      <c r="J269">
        <v>444</v>
      </c>
      <c r="K269">
        <f t="shared" si="8"/>
        <v>93</v>
      </c>
    </row>
    <row r="270" spans="1:11" x14ac:dyDescent="0.2">
      <c r="A270" t="s">
        <v>56</v>
      </c>
      <c r="B270">
        <v>434.8291015625</v>
      </c>
      <c r="C270">
        <v>13.9710060301169</v>
      </c>
      <c r="D270">
        <v>37.440186829833799</v>
      </c>
      <c r="E270">
        <v>43.3705271074599</v>
      </c>
      <c r="F270">
        <v>0.98873082793102796</v>
      </c>
      <c r="G270">
        <v>95.096669723546</v>
      </c>
      <c r="H270">
        <v>86.778824411626601</v>
      </c>
      <c r="I270" t="str">
        <f t="shared" si="9"/>
        <v>flower</v>
      </c>
      <c r="J270">
        <v>444</v>
      </c>
      <c r="K270">
        <f t="shared" si="8"/>
        <v>94</v>
      </c>
    </row>
    <row r="271" spans="1:11" x14ac:dyDescent="0.2">
      <c r="A271" t="s">
        <v>57</v>
      </c>
      <c r="B271">
        <v>519.3544921875</v>
      </c>
      <c r="C271">
        <v>11.6972127735188</v>
      </c>
      <c r="D271">
        <v>37.5981490129317</v>
      </c>
      <c r="E271">
        <v>43.528282756344801</v>
      </c>
      <c r="F271">
        <v>0.98903181327782996</v>
      </c>
      <c r="G271">
        <v>95.407112804921994</v>
      </c>
      <c r="H271">
        <v>86.968288523036605</v>
      </c>
      <c r="I271" t="str">
        <f t="shared" si="9"/>
        <v>flower</v>
      </c>
      <c r="J271">
        <v>444</v>
      </c>
      <c r="K271">
        <f t="shared" si="8"/>
        <v>95</v>
      </c>
    </row>
    <row r="272" spans="1:11" x14ac:dyDescent="0.2">
      <c r="A272" t="s">
        <v>58</v>
      </c>
      <c r="B272">
        <v>658.48046875</v>
      </c>
      <c r="C272">
        <v>9.22578616725297</v>
      </c>
      <c r="D272">
        <v>38.052849866014597</v>
      </c>
      <c r="E272">
        <v>43.989701177540397</v>
      </c>
      <c r="F272">
        <v>0.99029963861859505</v>
      </c>
      <c r="G272">
        <v>96.315009881167995</v>
      </c>
      <c r="H272">
        <v>87.772959193836897</v>
      </c>
      <c r="I272" t="str">
        <f t="shared" si="9"/>
        <v>flower</v>
      </c>
      <c r="J272">
        <v>444</v>
      </c>
      <c r="K272">
        <f t="shared" si="8"/>
        <v>96</v>
      </c>
    </row>
    <row r="273" spans="1:11" x14ac:dyDescent="0.2">
      <c r="A273" t="s">
        <v>59</v>
      </c>
      <c r="B273">
        <v>758.2109375</v>
      </c>
      <c r="C273">
        <v>8.0122822021411402</v>
      </c>
      <c r="D273">
        <v>38.995276599308802</v>
      </c>
      <c r="E273">
        <v>44.932409607700997</v>
      </c>
      <c r="F273">
        <v>0.99227547931076099</v>
      </c>
      <c r="G273">
        <v>98.169500686660896</v>
      </c>
      <c r="H273">
        <v>89.0485341602907</v>
      </c>
      <c r="I273" t="str">
        <f t="shared" si="9"/>
        <v>flower</v>
      </c>
      <c r="J273">
        <v>444</v>
      </c>
      <c r="K273">
        <f t="shared" si="8"/>
        <v>97</v>
      </c>
    </row>
    <row r="274" spans="1:11" x14ac:dyDescent="0.2">
      <c r="A274" t="s">
        <v>60</v>
      </c>
      <c r="B274">
        <v>930.44921875</v>
      </c>
      <c r="C274">
        <v>6.5291043052960802</v>
      </c>
      <c r="D274">
        <v>39.981094787945402</v>
      </c>
      <c r="E274">
        <v>45.918032973923403</v>
      </c>
      <c r="F274">
        <v>0.99389024607401499</v>
      </c>
      <c r="G274">
        <v>100.108041551771</v>
      </c>
      <c r="H274">
        <v>90.110825535983395</v>
      </c>
      <c r="I274" t="str">
        <f t="shared" si="9"/>
        <v>flower</v>
      </c>
      <c r="J274">
        <v>444</v>
      </c>
      <c r="K274">
        <f t="shared" si="8"/>
        <v>98</v>
      </c>
    </row>
    <row r="275" spans="1:11" x14ac:dyDescent="0.2">
      <c r="A275" t="s">
        <v>61</v>
      </c>
      <c r="B275">
        <v>1569.3857421875</v>
      </c>
      <c r="C275">
        <v>3.8709412457974302</v>
      </c>
      <c r="D275">
        <v>38.880817842603697</v>
      </c>
      <c r="E275">
        <v>44.816849615646902</v>
      </c>
      <c r="F275">
        <v>0.99136258059208504</v>
      </c>
      <c r="G275">
        <v>97.942194360815606</v>
      </c>
      <c r="H275">
        <v>88.455891858484193</v>
      </c>
      <c r="I275" t="str">
        <f t="shared" si="9"/>
        <v>flower</v>
      </c>
      <c r="J275">
        <v>444</v>
      </c>
      <c r="K275">
        <f t="shared" si="8"/>
        <v>99</v>
      </c>
    </row>
    <row r="276" spans="1:11" x14ac:dyDescent="0.2">
      <c r="A276" t="s">
        <v>62</v>
      </c>
      <c r="B276">
        <v>1713.1943359375</v>
      </c>
      <c r="C276">
        <v>3.5460075209013699</v>
      </c>
      <c r="D276">
        <v>42.036774251204299</v>
      </c>
      <c r="E276">
        <v>47.973907214940702</v>
      </c>
      <c r="F276">
        <v>0.99625091942260502</v>
      </c>
      <c r="G276">
        <v>104.15097395610201</v>
      </c>
      <c r="H276">
        <v>91.696580336877105</v>
      </c>
      <c r="I276" t="str">
        <f t="shared" si="9"/>
        <v>flower</v>
      </c>
      <c r="J276">
        <v>444</v>
      </c>
      <c r="K276">
        <f t="shared" si="8"/>
        <v>100</v>
      </c>
    </row>
    <row r="277" spans="1:11" x14ac:dyDescent="0.2">
      <c r="A277" t="s">
        <v>63</v>
      </c>
      <c r="B277">
        <v>524.6181640625</v>
      </c>
      <c r="C277">
        <v>11.5798506726432</v>
      </c>
      <c r="D277">
        <v>36.263460077836598</v>
      </c>
      <c r="E277">
        <v>45.070371470622199</v>
      </c>
      <c r="F277">
        <v>0.99706091757904403</v>
      </c>
      <c r="G277">
        <v>98.440864752918799</v>
      </c>
      <c r="H277">
        <v>92.249804279692199</v>
      </c>
      <c r="I277" t="str">
        <f t="shared" si="9"/>
        <v>pcgame</v>
      </c>
      <c r="J277">
        <v>444</v>
      </c>
      <c r="K277">
        <f t="shared" si="8"/>
        <v>90</v>
      </c>
    </row>
    <row r="278" spans="1:11" x14ac:dyDescent="0.2">
      <c r="A278" t="s">
        <v>64</v>
      </c>
      <c r="B278">
        <v>540.6513671875</v>
      </c>
      <c r="C278">
        <v>11.236446199336401</v>
      </c>
      <c r="D278">
        <v>37.001272415123402</v>
      </c>
      <c r="E278">
        <v>45.808490728024701</v>
      </c>
      <c r="F278">
        <v>0.99721858828841103</v>
      </c>
      <c r="G278">
        <v>99.892605066386906</v>
      </c>
      <c r="H278">
        <v>92.358040406986007</v>
      </c>
      <c r="I278" t="str">
        <f t="shared" si="9"/>
        <v>pcgame</v>
      </c>
      <c r="J278">
        <v>444</v>
      </c>
      <c r="K278">
        <f t="shared" si="8"/>
        <v>91</v>
      </c>
    </row>
    <row r="279" spans="1:11" x14ac:dyDescent="0.2">
      <c r="A279" t="s">
        <v>65</v>
      </c>
      <c r="B279">
        <v>564.3388671875</v>
      </c>
      <c r="C279">
        <v>10.764808793475501</v>
      </c>
      <c r="D279">
        <v>37.591335561043998</v>
      </c>
      <c r="E279">
        <v>46.398221298238397</v>
      </c>
      <c r="F279">
        <v>0.997314891533717</v>
      </c>
      <c r="G279">
        <v>101.052397785594</v>
      </c>
      <c r="H279">
        <v>92.424237814419001</v>
      </c>
      <c r="I279" t="str">
        <f t="shared" si="9"/>
        <v>pcgame</v>
      </c>
      <c r="J279">
        <v>444</v>
      </c>
      <c r="K279">
        <f t="shared" si="8"/>
        <v>92</v>
      </c>
    </row>
    <row r="280" spans="1:11" x14ac:dyDescent="0.2">
      <c r="A280" t="s">
        <v>66</v>
      </c>
      <c r="B280">
        <v>603.3779296875</v>
      </c>
      <c r="C280">
        <v>10.0683165576612</v>
      </c>
      <c r="D280">
        <v>38.144768680598801</v>
      </c>
      <c r="E280">
        <v>46.947026295899803</v>
      </c>
      <c r="F280">
        <v>0.99742213784433198</v>
      </c>
      <c r="G280">
        <v>102.131651243595</v>
      </c>
      <c r="H280">
        <v>92.498036114948903</v>
      </c>
      <c r="I280" t="str">
        <f t="shared" si="9"/>
        <v>pcgame</v>
      </c>
      <c r="J280">
        <v>444</v>
      </c>
      <c r="K280">
        <f t="shared" si="8"/>
        <v>93</v>
      </c>
    </row>
    <row r="281" spans="1:11" x14ac:dyDescent="0.2">
      <c r="A281" t="s">
        <v>67</v>
      </c>
      <c r="B281">
        <v>646.705078125</v>
      </c>
      <c r="C281">
        <v>9.3937719147239793</v>
      </c>
      <c r="D281">
        <v>38.484155243985803</v>
      </c>
      <c r="E281">
        <v>47.285794763329903</v>
      </c>
      <c r="F281">
        <v>0.99756445458747001</v>
      </c>
      <c r="G281">
        <v>102.797837764153</v>
      </c>
      <c r="H281">
        <v>92.596095423343499</v>
      </c>
      <c r="I281" t="str">
        <f t="shared" si="9"/>
        <v>pcgame</v>
      </c>
      <c r="J281">
        <v>444</v>
      </c>
      <c r="K281">
        <f t="shared" si="8"/>
        <v>94</v>
      </c>
    </row>
    <row r="282" spans="1:11" x14ac:dyDescent="0.2">
      <c r="A282" t="s">
        <v>68</v>
      </c>
      <c r="B282">
        <v>687.4580078125</v>
      </c>
      <c r="C282">
        <v>8.8369033904059506</v>
      </c>
      <c r="D282">
        <v>39.126940342105001</v>
      </c>
      <c r="E282">
        <v>47.928219717410798</v>
      </c>
      <c r="F282">
        <v>0.99761823431483698</v>
      </c>
      <c r="G282">
        <v>104.061133098132</v>
      </c>
      <c r="H282">
        <v>92.633188968299507</v>
      </c>
      <c r="I282" t="str">
        <f t="shared" si="9"/>
        <v>pcgame</v>
      </c>
      <c r="J282">
        <v>444</v>
      </c>
      <c r="K282">
        <f t="shared" si="8"/>
        <v>95</v>
      </c>
    </row>
    <row r="283" spans="1:11" x14ac:dyDescent="0.2">
      <c r="A283" t="s">
        <v>69</v>
      </c>
      <c r="B283">
        <v>754.88671875</v>
      </c>
      <c r="C283">
        <v>8.0475650837511807</v>
      </c>
      <c r="D283">
        <v>39.581394345424599</v>
      </c>
      <c r="E283">
        <v>48.386641369999097</v>
      </c>
      <c r="F283">
        <v>0.99780878291084696</v>
      </c>
      <c r="G283">
        <v>104.962577080119</v>
      </c>
      <c r="H283">
        <v>92.764784893946199</v>
      </c>
      <c r="I283" t="str">
        <f t="shared" si="9"/>
        <v>pcgame</v>
      </c>
      <c r="J283">
        <v>444</v>
      </c>
      <c r="K283">
        <f t="shared" si="8"/>
        <v>96</v>
      </c>
    </row>
    <row r="284" spans="1:11" x14ac:dyDescent="0.2">
      <c r="A284" t="s">
        <v>70</v>
      </c>
      <c r="B284">
        <v>815.525390625</v>
      </c>
      <c r="C284">
        <v>7.4491856045637803</v>
      </c>
      <c r="D284">
        <v>40.317365267592002</v>
      </c>
      <c r="E284">
        <v>49.122284103661997</v>
      </c>
      <c r="F284">
        <v>0.99798180092778399</v>
      </c>
      <c r="G284">
        <v>106.409128159373</v>
      </c>
      <c r="H284">
        <v>92.884502123196896</v>
      </c>
      <c r="I284" t="str">
        <f t="shared" si="9"/>
        <v>pcgame</v>
      </c>
      <c r="J284">
        <v>444</v>
      </c>
      <c r="K284">
        <f t="shared" si="8"/>
        <v>97</v>
      </c>
    </row>
    <row r="285" spans="1:11" x14ac:dyDescent="0.2">
      <c r="A285" t="s">
        <v>71</v>
      </c>
      <c r="B285">
        <v>910.1474609375</v>
      </c>
      <c r="C285">
        <v>6.6747425672565504</v>
      </c>
      <c r="D285">
        <v>39.974028802650501</v>
      </c>
      <c r="E285">
        <v>48.777440659531102</v>
      </c>
      <c r="F285">
        <v>0.99770196927099897</v>
      </c>
      <c r="G285">
        <v>105.731038820893</v>
      </c>
      <c r="H285">
        <v>92.690985260295705</v>
      </c>
      <c r="I285" t="str">
        <f t="shared" si="9"/>
        <v>pcgame</v>
      </c>
      <c r="J285">
        <v>444</v>
      </c>
      <c r="K285">
        <f t="shared" si="8"/>
        <v>98</v>
      </c>
    </row>
    <row r="286" spans="1:11" x14ac:dyDescent="0.2">
      <c r="A286" t="s">
        <v>72</v>
      </c>
      <c r="B286">
        <v>1180.8173828125</v>
      </c>
      <c r="C286">
        <v>5.1447413363194396</v>
      </c>
      <c r="D286">
        <v>39.564311685847798</v>
      </c>
      <c r="E286">
        <v>48.367361763322101</v>
      </c>
      <c r="F286">
        <v>0.99748098530756102</v>
      </c>
      <c r="G286">
        <v>104.92466575815899</v>
      </c>
      <c r="H286">
        <v>92.5385655263199</v>
      </c>
      <c r="I286" t="str">
        <f t="shared" si="9"/>
        <v>pcgame</v>
      </c>
      <c r="J286">
        <v>444</v>
      </c>
      <c r="K286">
        <f t="shared" si="8"/>
        <v>99</v>
      </c>
    </row>
    <row r="287" spans="1:11" x14ac:dyDescent="0.2">
      <c r="A287" t="s">
        <v>73</v>
      </c>
      <c r="B287">
        <v>1255.5263671875</v>
      </c>
      <c r="C287">
        <v>4.8386080601465897</v>
      </c>
      <c r="D287">
        <v>41.5461296298311</v>
      </c>
      <c r="E287">
        <v>50.349548258054703</v>
      </c>
      <c r="F287">
        <v>0.99815443116887403</v>
      </c>
      <c r="G287">
        <v>108.822352525147</v>
      </c>
      <c r="H287">
        <v>93.004167912945604</v>
      </c>
      <c r="I287" t="str">
        <f t="shared" si="9"/>
        <v>pcgame</v>
      </c>
      <c r="J287">
        <v>444</v>
      </c>
      <c r="K287">
        <f t="shared" si="8"/>
        <v>100</v>
      </c>
    </row>
    <row r="288" spans="1:11" x14ac:dyDescent="0.2">
      <c r="A288" t="s">
        <v>74</v>
      </c>
      <c r="B288">
        <v>548.416015625</v>
      </c>
      <c r="C288">
        <v>11.077357018971499</v>
      </c>
      <c r="D288">
        <v>38.319333081304997</v>
      </c>
      <c r="E288">
        <v>40.447423463189502</v>
      </c>
      <c r="F288">
        <v>0.98875904612861198</v>
      </c>
      <c r="G288">
        <v>89.336602024669105</v>
      </c>
      <c r="H288">
        <v>86.796561784905194</v>
      </c>
      <c r="I288" t="str">
        <f t="shared" si="9"/>
        <v>pc_desktop</v>
      </c>
      <c r="J288">
        <v>444</v>
      </c>
      <c r="K288">
        <f t="shared" si="8"/>
        <v>90</v>
      </c>
    </row>
    <row r="289" spans="1:11" x14ac:dyDescent="0.2">
      <c r="A289" t="s">
        <v>75</v>
      </c>
      <c r="B289">
        <v>571.1630859375</v>
      </c>
      <c r="C289">
        <v>10.636191570448901</v>
      </c>
      <c r="D289">
        <v>38.926615894764502</v>
      </c>
      <c r="E289">
        <v>41.053847032534897</v>
      </c>
      <c r="F289">
        <v>0.99000749348273398</v>
      </c>
      <c r="G289">
        <v>90.533466974210299</v>
      </c>
      <c r="H289">
        <v>87.586588635304693</v>
      </c>
      <c r="I289" t="str">
        <f t="shared" si="9"/>
        <v>pc_desktop</v>
      </c>
      <c r="J289">
        <v>444</v>
      </c>
      <c r="K289">
        <f t="shared" si="8"/>
        <v>91</v>
      </c>
    </row>
    <row r="290" spans="1:11" x14ac:dyDescent="0.2">
      <c r="A290" t="s">
        <v>76</v>
      </c>
      <c r="B290">
        <v>598.3779296875</v>
      </c>
      <c r="C290">
        <v>10.1524466371489</v>
      </c>
      <c r="D290">
        <v>39.612484698593597</v>
      </c>
      <c r="E290">
        <v>41.738603486613201</v>
      </c>
      <c r="F290">
        <v>0.99071471441060799</v>
      </c>
      <c r="G290">
        <v>91.883391491589293</v>
      </c>
      <c r="H290">
        <v>88.038736327154794</v>
      </c>
      <c r="I290" t="str">
        <f t="shared" si="9"/>
        <v>pc_desktop</v>
      </c>
      <c r="J290">
        <v>444</v>
      </c>
      <c r="K290">
        <f t="shared" si="8"/>
        <v>92</v>
      </c>
    </row>
    <row r="291" spans="1:11" x14ac:dyDescent="0.2">
      <c r="A291" t="s">
        <v>77</v>
      </c>
      <c r="B291">
        <v>636.7802734375</v>
      </c>
      <c r="C291">
        <v>9.5401824670315598</v>
      </c>
      <c r="D291">
        <v>40.565991527094504</v>
      </c>
      <c r="E291">
        <v>42.689488509059501</v>
      </c>
      <c r="F291">
        <v>0.99220725042803903</v>
      </c>
      <c r="G291">
        <v>93.756175181705501</v>
      </c>
      <c r="H291">
        <v>89.004044253875705</v>
      </c>
      <c r="I291" t="str">
        <f t="shared" si="9"/>
        <v>pc_desktop</v>
      </c>
      <c r="J291">
        <v>444</v>
      </c>
      <c r="K291">
        <f t="shared" si="8"/>
        <v>93</v>
      </c>
    </row>
    <row r="292" spans="1:11" x14ac:dyDescent="0.2">
      <c r="A292" t="s">
        <v>78</v>
      </c>
      <c r="B292">
        <v>684.5126953125</v>
      </c>
      <c r="C292">
        <v>8.8749267056713794</v>
      </c>
      <c r="D292">
        <v>41.522001132670802</v>
      </c>
      <c r="E292">
        <v>43.644204282808801</v>
      </c>
      <c r="F292">
        <v>0.99326323348981904</v>
      </c>
      <c r="G292">
        <v>95.635217950079493</v>
      </c>
      <c r="H292">
        <v>89.696199307356395</v>
      </c>
      <c r="I292" t="str">
        <f t="shared" si="9"/>
        <v>pc_desktop</v>
      </c>
      <c r="J292">
        <v>444</v>
      </c>
      <c r="K292">
        <f t="shared" si="8"/>
        <v>94</v>
      </c>
    </row>
    <row r="293" spans="1:11" x14ac:dyDescent="0.2">
      <c r="A293" t="s">
        <v>79</v>
      </c>
      <c r="B293">
        <v>751.7734375</v>
      </c>
      <c r="C293">
        <v>8.0808920573227905</v>
      </c>
      <c r="D293">
        <v>42.574194066533899</v>
      </c>
      <c r="E293">
        <v>44.695057033562897</v>
      </c>
      <c r="F293">
        <v>0.99411337600894401</v>
      </c>
      <c r="G293">
        <v>97.702622589468206</v>
      </c>
      <c r="H293">
        <v>90.2590347459452</v>
      </c>
      <c r="I293" t="str">
        <f t="shared" si="9"/>
        <v>pc_desktop</v>
      </c>
      <c r="J293">
        <v>444</v>
      </c>
      <c r="K293">
        <f t="shared" si="8"/>
        <v>95</v>
      </c>
    </row>
    <row r="294" spans="1:11" x14ac:dyDescent="0.2">
      <c r="A294" t="s">
        <v>80</v>
      </c>
      <c r="B294">
        <v>833.53515625</v>
      </c>
      <c r="C294">
        <v>7.2882348806148496</v>
      </c>
      <c r="D294">
        <v>43.631219803519599</v>
      </c>
      <c r="E294">
        <v>45.7524092194245</v>
      </c>
      <c r="F294">
        <v>0.99504238325897498</v>
      </c>
      <c r="G294">
        <v>99.782308616727093</v>
      </c>
      <c r="H294">
        <v>90.879852220739195</v>
      </c>
      <c r="I294" t="str">
        <f t="shared" si="9"/>
        <v>pc_desktop</v>
      </c>
      <c r="J294">
        <v>444</v>
      </c>
      <c r="K294">
        <f t="shared" si="8"/>
        <v>96</v>
      </c>
    </row>
    <row r="295" spans="1:11" x14ac:dyDescent="0.2">
      <c r="A295" t="s">
        <v>81</v>
      </c>
      <c r="B295">
        <v>914.078125</v>
      </c>
      <c r="C295">
        <v>6.6460402386283999</v>
      </c>
      <c r="D295">
        <v>45.201218256204299</v>
      </c>
      <c r="E295">
        <v>47.320890266893301</v>
      </c>
      <c r="F295">
        <v>0.99635891676254296</v>
      </c>
      <c r="G295">
        <v>102.86685219792</v>
      </c>
      <c r="H295">
        <v>91.770070411430396</v>
      </c>
      <c r="I295" t="str">
        <f t="shared" si="9"/>
        <v>pc_desktop</v>
      </c>
      <c r="J295">
        <v>444</v>
      </c>
      <c r="K295">
        <f t="shared" si="8"/>
        <v>97</v>
      </c>
    </row>
    <row r="296" spans="1:11" x14ac:dyDescent="0.2">
      <c r="A296" t="s">
        <v>82</v>
      </c>
      <c r="B296">
        <v>1039.783203125</v>
      </c>
      <c r="C296">
        <v>5.8425640861883403</v>
      </c>
      <c r="D296">
        <v>46.336765988978399</v>
      </c>
      <c r="E296">
        <v>48.455134572355902</v>
      </c>
      <c r="F296">
        <v>0.99669318107650096</v>
      </c>
      <c r="G296">
        <v>105.09726160976101</v>
      </c>
      <c r="H296">
        <v>91.998059393254593</v>
      </c>
      <c r="I296" t="str">
        <f t="shared" si="9"/>
        <v>pc_desktop</v>
      </c>
      <c r="J296">
        <v>444</v>
      </c>
      <c r="K296">
        <f t="shared" si="8"/>
        <v>98</v>
      </c>
    </row>
    <row r="297" spans="1:11" x14ac:dyDescent="0.2">
      <c r="A297" t="s">
        <v>83</v>
      </c>
      <c r="B297">
        <v>1317.0361328125</v>
      </c>
      <c r="C297">
        <v>4.61262971352728</v>
      </c>
      <c r="D297">
        <v>47.005480179445797</v>
      </c>
      <c r="E297">
        <v>49.122174458202302</v>
      </c>
      <c r="F297">
        <v>0.99680359441309496</v>
      </c>
      <c r="G297">
        <v>106.408912556693</v>
      </c>
      <c r="H297">
        <v>92.073544053584797</v>
      </c>
      <c r="I297" t="str">
        <f t="shared" si="9"/>
        <v>pc_desktop</v>
      </c>
      <c r="J297">
        <v>444</v>
      </c>
      <c r="K297">
        <f t="shared" si="8"/>
        <v>99</v>
      </c>
    </row>
    <row r="298" spans="1:11" x14ac:dyDescent="0.2">
      <c r="A298" t="s">
        <v>84</v>
      </c>
      <c r="B298">
        <v>1434.474609375</v>
      </c>
      <c r="C298">
        <v>4.2350000204234197</v>
      </c>
      <c r="D298">
        <v>49.671202404193899</v>
      </c>
      <c r="E298">
        <v>51.786699611078902</v>
      </c>
      <c r="F298">
        <v>0.99834519406020705</v>
      </c>
      <c r="G298">
        <v>111.64825353464801</v>
      </c>
      <c r="H298">
        <v>93.136655531335506</v>
      </c>
      <c r="I298" t="str">
        <f t="shared" si="9"/>
        <v>pc_desktop</v>
      </c>
      <c r="J298">
        <v>444</v>
      </c>
      <c r="K298">
        <f t="shared" si="8"/>
        <v>100</v>
      </c>
    </row>
    <row r="299" spans="1:11" x14ac:dyDescent="0.2">
      <c r="A299" t="s">
        <v>85</v>
      </c>
      <c r="B299">
        <v>399.91796875</v>
      </c>
      <c r="C299">
        <v>15.190615262895699</v>
      </c>
      <c r="D299">
        <v>36.4788436662934</v>
      </c>
      <c r="E299">
        <v>41.846967695133699</v>
      </c>
      <c r="F299">
        <v>0.988765389697432</v>
      </c>
      <c r="G299">
        <v>92.096905759520197</v>
      </c>
      <c r="H299">
        <v>86.800549943535302</v>
      </c>
      <c r="I299" t="str">
        <f t="shared" si="9"/>
        <v>shop</v>
      </c>
      <c r="J299">
        <v>444</v>
      </c>
      <c r="K299">
        <f t="shared" si="8"/>
        <v>90</v>
      </c>
    </row>
    <row r="300" spans="1:11" x14ac:dyDescent="0.2">
      <c r="A300" t="s">
        <v>86</v>
      </c>
      <c r="B300">
        <v>426.423828125</v>
      </c>
      <c r="C300">
        <v>14.2463896230002</v>
      </c>
      <c r="D300">
        <v>36.818805208127003</v>
      </c>
      <c r="E300">
        <v>42.187186324638098</v>
      </c>
      <c r="F300">
        <v>0.98942313014046701</v>
      </c>
      <c r="G300">
        <v>92.767088882575294</v>
      </c>
      <c r="H300">
        <v>87.215510722313397</v>
      </c>
      <c r="I300" t="str">
        <f t="shared" si="9"/>
        <v>shop</v>
      </c>
      <c r="J300">
        <v>444</v>
      </c>
      <c r="K300">
        <f t="shared" si="8"/>
        <v>91</v>
      </c>
    </row>
    <row r="301" spans="1:11" x14ac:dyDescent="0.2">
      <c r="A301" t="s">
        <v>87</v>
      </c>
      <c r="B301">
        <v>447.798828125</v>
      </c>
      <c r="C301">
        <v>13.566359754528399</v>
      </c>
      <c r="D301">
        <v>37.110099314219902</v>
      </c>
      <c r="E301">
        <v>42.478499367648297</v>
      </c>
      <c r="F301">
        <v>0.98967713503367805</v>
      </c>
      <c r="G301">
        <v>93.340763822656996</v>
      </c>
      <c r="H301">
        <v>87.376527454453907</v>
      </c>
      <c r="I301" t="str">
        <f t="shared" si="9"/>
        <v>shop</v>
      </c>
      <c r="J301">
        <v>444</v>
      </c>
      <c r="K301">
        <f t="shared" si="8"/>
        <v>92</v>
      </c>
    </row>
    <row r="302" spans="1:11" x14ac:dyDescent="0.2">
      <c r="A302" t="s">
        <v>88</v>
      </c>
      <c r="B302">
        <v>491.7783203125</v>
      </c>
      <c r="C302">
        <v>12.353126905105601</v>
      </c>
      <c r="D302">
        <v>37.6620739438806</v>
      </c>
      <c r="E302">
        <v>43.024790296447797</v>
      </c>
      <c r="F302">
        <v>0.99044730011325599</v>
      </c>
      <c r="G302">
        <v>94.416218953070697</v>
      </c>
      <c r="H302">
        <v>87.8673756860358</v>
      </c>
      <c r="I302" t="str">
        <f t="shared" si="9"/>
        <v>shop</v>
      </c>
      <c r="J302">
        <v>444</v>
      </c>
      <c r="K302">
        <f t="shared" si="8"/>
        <v>93</v>
      </c>
    </row>
    <row r="303" spans="1:11" x14ac:dyDescent="0.2">
      <c r="A303" t="s">
        <v>89</v>
      </c>
      <c r="B303">
        <v>546.4404296875</v>
      </c>
      <c r="C303">
        <v>11.1174057956769</v>
      </c>
      <c r="D303">
        <v>38.126834368005298</v>
      </c>
      <c r="E303">
        <v>43.4895498701581</v>
      </c>
      <c r="F303">
        <v>0.99101260408982095</v>
      </c>
      <c r="G303">
        <v>95.330893453036794</v>
      </c>
      <c r="H303">
        <v>88.230192788321105</v>
      </c>
      <c r="I303" t="str">
        <f t="shared" si="9"/>
        <v>shop</v>
      </c>
      <c r="J303">
        <v>444</v>
      </c>
      <c r="K303">
        <f t="shared" si="8"/>
        <v>94</v>
      </c>
    </row>
    <row r="304" spans="1:11" x14ac:dyDescent="0.2">
      <c r="A304" t="s">
        <v>90</v>
      </c>
      <c r="B304">
        <v>629.279296875</v>
      </c>
      <c r="C304">
        <v>9.6539009469538293</v>
      </c>
      <c r="D304">
        <v>38.52167702789</v>
      </c>
      <c r="E304">
        <v>43.884362330749397</v>
      </c>
      <c r="F304">
        <v>0.99125423397724</v>
      </c>
      <c r="G304">
        <v>96.107756611099404</v>
      </c>
      <c r="H304">
        <v>88.385930762718104</v>
      </c>
      <c r="I304" t="str">
        <f t="shared" si="9"/>
        <v>shop</v>
      </c>
      <c r="J304">
        <v>444</v>
      </c>
      <c r="K304">
        <f t="shared" si="8"/>
        <v>95</v>
      </c>
    </row>
    <row r="305" spans="1:11" x14ac:dyDescent="0.2">
      <c r="A305" t="s">
        <v>91</v>
      </c>
      <c r="B305">
        <v>745.91015625</v>
      </c>
      <c r="C305">
        <v>8.1444124994108495</v>
      </c>
      <c r="D305">
        <v>39.048322913131102</v>
      </c>
      <c r="E305">
        <v>44.416628896494899</v>
      </c>
      <c r="F305">
        <v>0.99202004629471496</v>
      </c>
      <c r="G305">
        <v>97.154915953789001</v>
      </c>
      <c r="H305">
        <v>88.882137817488498</v>
      </c>
      <c r="I305" t="str">
        <f t="shared" si="9"/>
        <v>shop</v>
      </c>
      <c r="J305">
        <v>444</v>
      </c>
      <c r="K305">
        <f t="shared" si="8"/>
        <v>96</v>
      </c>
    </row>
    <row r="306" spans="1:11" x14ac:dyDescent="0.2">
      <c r="A306" t="s">
        <v>92</v>
      </c>
      <c r="B306">
        <v>850.5234375</v>
      </c>
      <c r="C306">
        <v>7.1426603102868604</v>
      </c>
      <c r="D306">
        <v>39.9294275322342</v>
      </c>
      <c r="E306">
        <v>45.297936404799401</v>
      </c>
      <c r="F306">
        <v>0.99331045054460698</v>
      </c>
      <c r="G306">
        <v>98.888459006111205</v>
      </c>
      <c r="H306">
        <v>89.727327740395793</v>
      </c>
      <c r="I306" t="str">
        <f t="shared" si="9"/>
        <v>shop</v>
      </c>
      <c r="J306">
        <v>444</v>
      </c>
      <c r="K306">
        <f t="shared" si="8"/>
        <v>97</v>
      </c>
    </row>
    <row r="307" spans="1:11" x14ac:dyDescent="0.2">
      <c r="A307" t="s">
        <v>93</v>
      </c>
      <c r="B307">
        <v>1060.8779296875</v>
      </c>
      <c r="C307">
        <v>5.7263892762756399</v>
      </c>
      <c r="D307">
        <v>40.351175723736098</v>
      </c>
      <c r="E307">
        <v>45.719561756777502</v>
      </c>
      <c r="F307">
        <v>0.99345868047378105</v>
      </c>
      <c r="G307">
        <v>99.717706606608601</v>
      </c>
      <c r="H307">
        <v>89.825150459728107</v>
      </c>
      <c r="I307" t="str">
        <f t="shared" si="9"/>
        <v>shop</v>
      </c>
      <c r="J307">
        <v>444</v>
      </c>
      <c r="K307">
        <f t="shared" si="8"/>
        <v>98</v>
      </c>
    </row>
    <row r="308" spans="1:11" x14ac:dyDescent="0.2">
      <c r="A308" t="s">
        <v>94</v>
      </c>
      <c r="B308">
        <v>1695.53515625</v>
      </c>
      <c r="C308">
        <v>3.5829395678447802</v>
      </c>
      <c r="D308">
        <v>39.470510726974602</v>
      </c>
      <c r="E308">
        <v>44.838329903645601</v>
      </c>
      <c r="F308">
        <v>0.99030166131334496</v>
      </c>
      <c r="G308">
        <v>97.984446458835507</v>
      </c>
      <c r="H308">
        <v>87.774251540630999</v>
      </c>
      <c r="I308" t="str">
        <f t="shared" si="9"/>
        <v>shop</v>
      </c>
      <c r="J308">
        <v>444</v>
      </c>
      <c r="K308">
        <f t="shared" si="8"/>
        <v>99</v>
      </c>
    </row>
    <row r="309" spans="1:11" x14ac:dyDescent="0.2">
      <c r="A309" t="s">
        <v>95</v>
      </c>
      <c r="B309">
        <v>1871.72265625</v>
      </c>
      <c r="C309">
        <v>3.2456731662217901</v>
      </c>
      <c r="D309">
        <v>42.681205947900402</v>
      </c>
      <c r="E309">
        <v>48.049878640311803</v>
      </c>
      <c r="F309">
        <v>0.99584576483966303</v>
      </c>
      <c r="G309">
        <v>104.30036545518099</v>
      </c>
      <c r="H309">
        <v>91.421621867902303</v>
      </c>
      <c r="I309" t="str">
        <f t="shared" si="9"/>
        <v>shop</v>
      </c>
      <c r="J309">
        <v>444</v>
      </c>
      <c r="K309">
        <f t="shared" si="8"/>
        <v>100</v>
      </c>
    </row>
    <row r="310" spans="1:11" x14ac:dyDescent="0.2">
      <c r="A310" t="s">
        <v>96</v>
      </c>
      <c r="B310">
        <v>594.76171875</v>
      </c>
      <c r="C310">
        <v>10.2141745315548</v>
      </c>
      <c r="D310">
        <v>33.328785687046903</v>
      </c>
      <c r="E310">
        <v>39.678501644686499</v>
      </c>
      <c r="F310">
        <v>0.97812473774213105</v>
      </c>
      <c r="G310">
        <v>87.8162941661665</v>
      </c>
      <c r="H310">
        <v>80.470306181161305</v>
      </c>
      <c r="I310" t="str">
        <f t="shared" si="9"/>
        <v>street</v>
      </c>
      <c r="J310">
        <v>444</v>
      </c>
      <c r="K310">
        <f t="shared" si="8"/>
        <v>90</v>
      </c>
    </row>
    <row r="311" spans="1:11" x14ac:dyDescent="0.2">
      <c r="A311" t="s">
        <v>97</v>
      </c>
      <c r="B311">
        <v>632.9375</v>
      </c>
      <c r="C311">
        <v>9.5981040782067701</v>
      </c>
      <c r="D311">
        <v>33.718879407579003</v>
      </c>
      <c r="E311">
        <v>40.068680994400403</v>
      </c>
      <c r="F311">
        <v>0.97969950607761203</v>
      </c>
      <c r="G311">
        <v>88.588210061913799</v>
      </c>
      <c r="H311">
        <v>81.363242288927495</v>
      </c>
      <c r="I311" t="str">
        <f t="shared" si="9"/>
        <v>street</v>
      </c>
      <c r="J311">
        <v>444</v>
      </c>
      <c r="K311">
        <f t="shared" si="8"/>
        <v>91</v>
      </c>
    </row>
    <row r="312" spans="1:11" x14ac:dyDescent="0.2">
      <c r="A312" t="s">
        <v>98</v>
      </c>
      <c r="B312">
        <v>666.537109375</v>
      </c>
      <c r="C312">
        <v>9.1142712304441993</v>
      </c>
      <c r="D312">
        <v>34.111109370819698</v>
      </c>
      <c r="E312">
        <v>40.460989078745698</v>
      </c>
      <c r="F312">
        <v>0.98090546467284501</v>
      </c>
      <c r="G312">
        <v>89.363393459807298</v>
      </c>
      <c r="H312">
        <v>82.057079366353904</v>
      </c>
      <c r="I312" t="str">
        <f t="shared" si="9"/>
        <v>street</v>
      </c>
      <c r="J312">
        <v>444</v>
      </c>
      <c r="K312">
        <f t="shared" si="8"/>
        <v>92</v>
      </c>
    </row>
    <row r="313" spans="1:11" x14ac:dyDescent="0.2">
      <c r="A313" t="s">
        <v>99</v>
      </c>
      <c r="B313">
        <v>724.728515625</v>
      </c>
      <c r="C313">
        <v>8.3824492468893297</v>
      </c>
      <c r="D313">
        <v>34.715038042305103</v>
      </c>
      <c r="E313">
        <v>41.058122938805802</v>
      </c>
      <c r="F313">
        <v>0.98278379269067695</v>
      </c>
      <c r="G313">
        <v>90.541900955967904</v>
      </c>
      <c r="H313">
        <v>83.155369621221993</v>
      </c>
      <c r="I313" t="str">
        <f t="shared" si="9"/>
        <v>street</v>
      </c>
      <c r="J313">
        <v>444</v>
      </c>
      <c r="K313">
        <f t="shared" si="8"/>
        <v>93</v>
      </c>
    </row>
    <row r="314" spans="1:11" x14ac:dyDescent="0.2">
      <c r="A314" t="s">
        <v>100</v>
      </c>
      <c r="B314">
        <v>797.58203125</v>
      </c>
      <c r="C314">
        <v>7.6167713940082598</v>
      </c>
      <c r="D314">
        <v>35.330306432112202</v>
      </c>
      <c r="E314">
        <v>41.673419934681803</v>
      </c>
      <c r="F314">
        <v>0.98452026108132895</v>
      </c>
      <c r="G314">
        <v>91.754944466614702</v>
      </c>
      <c r="H314">
        <v>84.190125457839301</v>
      </c>
      <c r="I314" t="str">
        <f t="shared" si="9"/>
        <v>street</v>
      </c>
      <c r="J314">
        <v>444</v>
      </c>
      <c r="K314">
        <f t="shared" si="8"/>
        <v>94</v>
      </c>
    </row>
    <row r="315" spans="1:11" x14ac:dyDescent="0.2">
      <c r="A315" t="s">
        <v>101</v>
      </c>
      <c r="B315">
        <v>895.986328125</v>
      </c>
      <c r="C315">
        <v>6.7802373867835097</v>
      </c>
      <c r="D315">
        <v>35.914509426462097</v>
      </c>
      <c r="E315">
        <v>42.257692112757802</v>
      </c>
      <c r="F315">
        <v>0.98581698583161304</v>
      </c>
      <c r="G315">
        <v>92.905947393917003</v>
      </c>
      <c r="H315">
        <v>84.9752186341655</v>
      </c>
      <c r="I315" t="str">
        <f t="shared" si="9"/>
        <v>street</v>
      </c>
      <c r="J315">
        <v>444</v>
      </c>
      <c r="K315">
        <f t="shared" si="8"/>
        <v>95</v>
      </c>
    </row>
    <row r="316" spans="1:11" x14ac:dyDescent="0.2">
      <c r="A316" t="s">
        <v>102</v>
      </c>
      <c r="B316">
        <v>1040.8515625</v>
      </c>
      <c r="C316">
        <v>5.8365671137665203</v>
      </c>
      <c r="D316">
        <v>36.713077918417397</v>
      </c>
      <c r="E316">
        <v>43.062863193533197</v>
      </c>
      <c r="F316">
        <v>0.98787735786525199</v>
      </c>
      <c r="G316">
        <v>94.491157115292907</v>
      </c>
      <c r="H316">
        <v>86.244824352876293</v>
      </c>
      <c r="I316" t="str">
        <f t="shared" si="9"/>
        <v>street</v>
      </c>
      <c r="J316">
        <v>444</v>
      </c>
      <c r="K316">
        <f t="shared" si="8"/>
        <v>96</v>
      </c>
    </row>
    <row r="317" spans="1:11" x14ac:dyDescent="0.2">
      <c r="A317" t="s">
        <v>103</v>
      </c>
      <c r="B317">
        <v>1168.3447265625</v>
      </c>
      <c r="C317">
        <v>5.1996639877631399</v>
      </c>
      <c r="D317">
        <v>37.847158889253599</v>
      </c>
      <c r="E317">
        <v>44.197141682136902</v>
      </c>
      <c r="F317">
        <v>0.99041480370297197</v>
      </c>
      <c r="G317">
        <v>96.723126317546999</v>
      </c>
      <c r="H317">
        <v>87.846584543704495</v>
      </c>
      <c r="I317" t="str">
        <f t="shared" si="9"/>
        <v>street</v>
      </c>
      <c r="J317">
        <v>444</v>
      </c>
      <c r="K317">
        <f t="shared" si="8"/>
        <v>97</v>
      </c>
    </row>
    <row r="318" spans="1:11" x14ac:dyDescent="0.2">
      <c r="A318" t="s">
        <v>104</v>
      </c>
      <c r="B318">
        <v>1421.8310546875</v>
      </c>
      <c r="C318">
        <v>4.2726595258781996</v>
      </c>
      <c r="D318">
        <v>38.541496349929602</v>
      </c>
      <c r="E318">
        <v>44.891366486176402</v>
      </c>
      <c r="F318">
        <v>0.99140108840548302</v>
      </c>
      <c r="G318">
        <v>98.088769536383694</v>
      </c>
      <c r="H318">
        <v>88.480776118461094</v>
      </c>
      <c r="I318" t="str">
        <f t="shared" si="9"/>
        <v>street</v>
      </c>
      <c r="J318">
        <v>444</v>
      </c>
      <c r="K318">
        <f t="shared" si="8"/>
        <v>98</v>
      </c>
    </row>
    <row r="319" spans="1:11" x14ac:dyDescent="0.2">
      <c r="A319" t="s">
        <v>105</v>
      </c>
      <c r="B319">
        <v>2112.49609375</v>
      </c>
      <c r="C319">
        <v>2.8757449625461602</v>
      </c>
      <c r="D319">
        <v>38.096844262335203</v>
      </c>
      <c r="E319">
        <v>44.446355801453997</v>
      </c>
      <c r="F319">
        <v>0.98853008673655895</v>
      </c>
      <c r="G319">
        <v>97.213394686429595</v>
      </c>
      <c r="H319">
        <v>86.6527940920421</v>
      </c>
      <c r="I319" t="str">
        <f t="shared" si="9"/>
        <v>street</v>
      </c>
      <c r="J319">
        <v>444</v>
      </c>
      <c r="K319">
        <f t="shared" si="8"/>
        <v>99</v>
      </c>
    </row>
    <row r="320" spans="1:11" x14ac:dyDescent="0.2">
      <c r="A320" t="s">
        <v>106</v>
      </c>
      <c r="B320">
        <v>2346.103515625</v>
      </c>
      <c r="C320">
        <v>2.5893998110231</v>
      </c>
      <c r="D320">
        <v>41.475593489288698</v>
      </c>
      <c r="E320">
        <v>47.8259818576594</v>
      </c>
      <c r="F320">
        <v>0.99512627280114097</v>
      </c>
      <c r="G320">
        <v>103.86008988203599</v>
      </c>
      <c r="H320">
        <v>90.936210729381401</v>
      </c>
      <c r="I320" t="str">
        <f t="shared" si="9"/>
        <v>street</v>
      </c>
      <c r="J320">
        <v>444</v>
      </c>
      <c r="K320">
        <f t="shared" si="8"/>
        <v>100</v>
      </c>
    </row>
    <row r="321" spans="1:11" x14ac:dyDescent="0.2">
      <c r="A321" t="s">
        <v>107</v>
      </c>
      <c r="B321">
        <v>320.857421875</v>
      </c>
      <c r="C321">
        <v>18.933643374990101</v>
      </c>
      <c r="D321">
        <v>38.421207086070901</v>
      </c>
      <c r="E321">
        <v>43.088563513759901</v>
      </c>
      <c r="F321">
        <v>0.98569899182288501</v>
      </c>
      <c r="G321">
        <v>94.541741652134604</v>
      </c>
      <c r="H321">
        <v>84.903337668983994</v>
      </c>
      <c r="I321" t="str">
        <f t="shared" si="9"/>
        <v>wedding</v>
      </c>
      <c r="J321">
        <v>444</v>
      </c>
      <c r="K321">
        <f t="shared" si="8"/>
        <v>90</v>
      </c>
    </row>
    <row r="322" spans="1:11" x14ac:dyDescent="0.2">
      <c r="A322" t="s">
        <v>108</v>
      </c>
      <c r="B322">
        <v>344.8212890625</v>
      </c>
      <c r="C322">
        <v>17.617821731705501</v>
      </c>
      <c r="D322">
        <v>38.688057092749702</v>
      </c>
      <c r="E322">
        <v>43.355526340398796</v>
      </c>
      <c r="F322">
        <v>0.98651907214836998</v>
      </c>
      <c r="G322">
        <v>95.067148937637995</v>
      </c>
      <c r="H322">
        <v>85.404767785234796</v>
      </c>
      <c r="I322" t="str">
        <f t="shared" si="9"/>
        <v>wedding</v>
      </c>
      <c r="J322">
        <v>444</v>
      </c>
      <c r="K322">
        <f t="shared" ref="K322:K331" si="10">(MID(A322,FIND("gimp",A322)+4,FIND(".",A322)-FIND("gimp",A322)-4))+0</f>
        <v>91</v>
      </c>
    </row>
    <row r="323" spans="1:11" x14ac:dyDescent="0.2">
      <c r="A323" t="s">
        <v>109</v>
      </c>
      <c r="B323">
        <v>363.8056640625</v>
      </c>
      <c r="C323">
        <v>16.6984755876598</v>
      </c>
      <c r="D323">
        <v>38.911614558460002</v>
      </c>
      <c r="E323">
        <v>43.579161184405798</v>
      </c>
      <c r="F323">
        <v>0.98716191221896799</v>
      </c>
      <c r="G323">
        <v>95.507230450815499</v>
      </c>
      <c r="H323">
        <v>85.800852423817801</v>
      </c>
      <c r="I323" t="str">
        <f t="shared" ref="I323:I331" si="11">LEFT(A323,FIND("/",A323)-1)</f>
        <v>wedding</v>
      </c>
      <c r="J323">
        <v>444</v>
      </c>
      <c r="K323">
        <f t="shared" si="10"/>
        <v>92</v>
      </c>
    </row>
    <row r="324" spans="1:11" x14ac:dyDescent="0.2">
      <c r="A324" t="s">
        <v>110</v>
      </c>
      <c r="B324">
        <v>403.7001953125</v>
      </c>
      <c r="C324">
        <v>15.0482959149856</v>
      </c>
      <c r="D324">
        <v>39.403031942197401</v>
      </c>
      <c r="E324">
        <v>44.065102301986499</v>
      </c>
      <c r="F324">
        <v>0.98811403774838502</v>
      </c>
      <c r="G324">
        <v>96.463356428827097</v>
      </c>
      <c r="H324">
        <v>86.392431714836704</v>
      </c>
      <c r="I324" t="str">
        <f t="shared" si="11"/>
        <v>wedding</v>
      </c>
      <c r="J324">
        <v>444</v>
      </c>
      <c r="K324">
        <f t="shared" si="10"/>
        <v>93</v>
      </c>
    </row>
    <row r="325" spans="1:11" x14ac:dyDescent="0.2">
      <c r="A325" t="s">
        <v>111</v>
      </c>
      <c r="B325">
        <v>454.193359375</v>
      </c>
      <c r="C325">
        <v>13.3753606797766</v>
      </c>
      <c r="D325">
        <v>39.783848399052303</v>
      </c>
      <c r="E325">
        <v>44.446233562257198</v>
      </c>
      <c r="F325">
        <v>0.98895875470150796</v>
      </c>
      <c r="G325">
        <v>97.213154218548397</v>
      </c>
      <c r="H325">
        <v>86.922244646247506</v>
      </c>
      <c r="I325" t="str">
        <f t="shared" si="11"/>
        <v>wedding</v>
      </c>
      <c r="J325">
        <v>444</v>
      </c>
      <c r="K325">
        <f t="shared" si="10"/>
        <v>94</v>
      </c>
    </row>
    <row r="326" spans="1:11" x14ac:dyDescent="0.2">
      <c r="A326" t="s">
        <v>112</v>
      </c>
      <c r="B326">
        <v>523.201171875</v>
      </c>
      <c r="C326">
        <v>11.611212525058001</v>
      </c>
      <c r="D326">
        <v>40.070300323644098</v>
      </c>
      <c r="E326">
        <v>44.732920613510501</v>
      </c>
      <c r="F326">
        <v>0.98944630348663798</v>
      </c>
      <c r="G326">
        <v>97.777102721876602</v>
      </c>
      <c r="H326">
        <v>87.230182801041593</v>
      </c>
      <c r="I326" t="str">
        <f t="shared" si="11"/>
        <v>wedding</v>
      </c>
      <c r="J326">
        <v>444</v>
      </c>
      <c r="K326">
        <f t="shared" si="10"/>
        <v>95</v>
      </c>
    </row>
    <row r="327" spans="1:11" x14ac:dyDescent="0.2">
      <c r="A327" t="s">
        <v>113</v>
      </c>
      <c r="B327">
        <v>626.9970703125</v>
      </c>
      <c r="C327">
        <v>9.6890404878162695</v>
      </c>
      <c r="D327">
        <v>40.494471009339698</v>
      </c>
      <c r="E327">
        <v>45.1626026915689</v>
      </c>
      <c r="F327">
        <v>0.99072051182742005</v>
      </c>
      <c r="G327">
        <v>98.622275128429195</v>
      </c>
      <c r="H327">
        <v>88.042456673418201</v>
      </c>
      <c r="I327" t="str">
        <f t="shared" si="11"/>
        <v>wedding</v>
      </c>
      <c r="J327">
        <v>444</v>
      </c>
      <c r="K327">
        <f t="shared" si="10"/>
        <v>96</v>
      </c>
    </row>
    <row r="328" spans="1:11" x14ac:dyDescent="0.2">
      <c r="A328" t="s">
        <v>114</v>
      </c>
      <c r="B328">
        <v>716.7041015625</v>
      </c>
      <c r="C328">
        <v>8.4763014286590206</v>
      </c>
      <c r="D328">
        <v>41.216933935253103</v>
      </c>
      <c r="E328">
        <v>45.885276743864999</v>
      </c>
      <c r="F328">
        <v>0.99216087847242096</v>
      </c>
      <c r="G328">
        <v>100.04362023244499</v>
      </c>
      <c r="H328">
        <v>88.973824739466593</v>
      </c>
      <c r="I328" t="str">
        <f t="shared" si="11"/>
        <v>wedding</v>
      </c>
      <c r="J328">
        <v>444</v>
      </c>
      <c r="K328">
        <f t="shared" si="10"/>
        <v>97</v>
      </c>
    </row>
    <row r="329" spans="1:11" x14ac:dyDescent="0.2">
      <c r="A329" t="s">
        <v>115</v>
      </c>
      <c r="B329">
        <v>893.330078125</v>
      </c>
      <c r="C329">
        <v>6.8003979142298103</v>
      </c>
      <c r="D329">
        <v>41.5404811497447</v>
      </c>
      <c r="E329">
        <v>46.208691282206701</v>
      </c>
      <c r="F329">
        <v>0.99243231461586501</v>
      </c>
      <c r="G329">
        <v>100.67966623290501</v>
      </c>
      <c r="H329">
        <v>89.150922380892794</v>
      </c>
      <c r="I329" t="str">
        <f t="shared" si="11"/>
        <v>wedding</v>
      </c>
      <c r="J329">
        <v>444</v>
      </c>
      <c r="K329">
        <f t="shared" si="10"/>
        <v>98</v>
      </c>
    </row>
    <row r="330" spans="1:11" x14ac:dyDescent="0.2">
      <c r="A330" t="s">
        <v>116</v>
      </c>
      <c r="B330">
        <v>1499.7841796875</v>
      </c>
      <c r="C330">
        <v>4.0505827986969498</v>
      </c>
      <c r="D330">
        <v>40.268618422771397</v>
      </c>
      <c r="E330">
        <v>44.935253513309803</v>
      </c>
      <c r="F330">
        <v>0.98772511937769902</v>
      </c>
      <c r="G330">
        <v>98.175094578392205</v>
      </c>
      <c r="H330">
        <v>86.150073051877399</v>
      </c>
      <c r="I330" t="str">
        <f t="shared" si="11"/>
        <v>wedding</v>
      </c>
      <c r="J330">
        <v>444</v>
      </c>
      <c r="K330">
        <f t="shared" si="10"/>
        <v>99</v>
      </c>
    </row>
    <row r="331" spans="1:11" x14ac:dyDescent="0.2">
      <c r="A331" t="s">
        <v>117</v>
      </c>
      <c r="B331">
        <v>1641.9482421875</v>
      </c>
      <c r="C331">
        <v>3.69987301908282</v>
      </c>
      <c r="D331">
        <v>43.241581620152502</v>
      </c>
      <c r="E331">
        <v>47.9095716701245</v>
      </c>
      <c r="F331">
        <v>0.99462464912484105</v>
      </c>
      <c r="G331">
        <v>104.024463143259</v>
      </c>
      <c r="H331">
        <v>90.599948492483193</v>
      </c>
      <c r="I331" t="str">
        <f t="shared" si="11"/>
        <v>wedding</v>
      </c>
      <c r="J331">
        <v>444</v>
      </c>
      <c r="K331">
        <f t="shared" si="10"/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31"/>
  <sheetViews>
    <sheetView workbookViewId="0">
      <selection activeCell="J4" sqref="J4"/>
    </sheetView>
  </sheetViews>
  <sheetFormatPr defaultRowHeight="14.25" x14ac:dyDescent="0.2"/>
  <cols>
    <col min="3" max="3" width="8.875" style="2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118</v>
      </c>
      <c r="J1" t="s">
        <v>119</v>
      </c>
      <c r="K1" t="s">
        <v>120</v>
      </c>
    </row>
    <row r="2" spans="1:11" x14ac:dyDescent="0.2">
      <c r="A2" t="s">
        <v>121</v>
      </c>
      <c r="B2">
        <v>502.51171875</v>
      </c>
      <c r="C2">
        <v>12.0892703061962</v>
      </c>
      <c r="D2">
        <v>26.308075716841898</v>
      </c>
      <c r="E2">
        <v>33.8843890109436</v>
      </c>
      <c r="F2">
        <v>0.97310839888299705</v>
      </c>
      <c r="G2">
        <v>75.821743381342998</v>
      </c>
      <c r="H2">
        <v>77.722042629236995</v>
      </c>
      <c r="I2" t="str">
        <f>LEFT(A2,FIND("/",A2)-1)</f>
        <v>bar</v>
      </c>
      <c r="J2">
        <v>411</v>
      </c>
      <c r="K2">
        <f t="shared" ref="K2:K65" si="0">(MID(A2,FIND("gimp",A2)+4,FIND(".",A2)-FIND("gimp",A2)-4))+0</f>
        <v>90</v>
      </c>
    </row>
    <row r="3" spans="1:11" x14ac:dyDescent="0.2">
      <c r="A3" t="s">
        <v>9</v>
      </c>
      <c r="B3">
        <v>540.130859375</v>
      </c>
      <c r="C3">
        <v>11.2472744235157</v>
      </c>
      <c r="D3">
        <v>26.5516485230469</v>
      </c>
      <c r="E3">
        <v>34.128210227966797</v>
      </c>
      <c r="F3">
        <v>0.97461428553982499</v>
      </c>
      <c r="G3">
        <v>76.380427397991994</v>
      </c>
      <c r="H3">
        <v>78.531969503743099</v>
      </c>
      <c r="I3" t="str">
        <f t="shared" ref="I3:I66" si="1">LEFT(A3,FIND("/",A3)-1)</f>
        <v>bar</v>
      </c>
      <c r="J3">
        <v>411</v>
      </c>
      <c r="K3">
        <f t="shared" si="0"/>
        <v>91</v>
      </c>
    </row>
    <row r="4" spans="1:11" x14ac:dyDescent="0.2">
      <c r="A4" t="s">
        <v>10</v>
      </c>
      <c r="B4">
        <v>577.6826171875</v>
      </c>
      <c r="C4">
        <v>10.516155098411501</v>
      </c>
      <c r="D4">
        <v>26.562573035190201</v>
      </c>
      <c r="E4">
        <v>34.138430274862401</v>
      </c>
      <c r="F4">
        <v>0.97511454125856101</v>
      </c>
      <c r="G4">
        <v>76.403621624982407</v>
      </c>
      <c r="H4">
        <v>78.8038614094053</v>
      </c>
      <c r="I4" t="str">
        <f t="shared" si="1"/>
        <v>bar</v>
      </c>
      <c r="J4">
        <v>411</v>
      </c>
      <c r="K4">
        <f t="shared" si="0"/>
        <v>92</v>
      </c>
    </row>
    <row r="5" spans="1:11" x14ac:dyDescent="0.2">
      <c r="A5" t="s">
        <v>11</v>
      </c>
      <c r="B5">
        <v>636.0791015625</v>
      </c>
      <c r="C5">
        <v>9.5506989383506404</v>
      </c>
      <c r="D5">
        <v>26.8274264266391</v>
      </c>
      <c r="E5">
        <v>34.396412237799801</v>
      </c>
      <c r="F5">
        <v>0.97686445158034196</v>
      </c>
      <c r="G5">
        <v>76.983651202577406</v>
      </c>
      <c r="H5">
        <v>79.7662188773309</v>
      </c>
      <c r="I5" t="str">
        <f t="shared" si="1"/>
        <v>bar</v>
      </c>
      <c r="J5">
        <v>411</v>
      </c>
      <c r="K5">
        <f t="shared" si="0"/>
        <v>93</v>
      </c>
    </row>
    <row r="6" spans="1:11" x14ac:dyDescent="0.2">
      <c r="A6" t="s">
        <v>12</v>
      </c>
      <c r="B6">
        <v>710.21875</v>
      </c>
      <c r="C6">
        <v>8.5537026444317306</v>
      </c>
      <c r="D6">
        <v>27.035447830527001</v>
      </c>
      <c r="E6">
        <v>34.604394394113399</v>
      </c>
      <c r="F6">
        <v>0.97854263061955704</v>
      </c>
      <c r="G6">
        <v>77.444226140792594</v>
      </c>
      <c r="H6">
        <v>80.705829494878103</v>
      </c>
      <c r="I6" t="str">
        <f t="shared" si="1"/>
        <v>bar</v>
      </c>
      <c r="J6">
        <v>411</v>
      </c>
      <c r="K6">
        <f t="shared" si="0"/>
        <v>94</v>
      </c>
    </row>
    <row r="7" spans="1:11" x14ac:dyDescent="0.2">
      <c r="A7" t="s">
        <v>13</v>
      </c>
      <c r="B7">
        <v>798.166015625</v>
      </c>
      <c r="C7">
        <v>7.6111985239599598</v>
      </c>
      <c r="D7">
        <v>27.037791876941402</v>
      </c>
      <c r="E7">
        <v>34.605892597870003</v>
      </c>
      <c r="F7">
        <v>0.97942924667111997</v>
      </c>
      <c r="G7">
        <v>77.447522921927501</v>
      </c>
      <c r="H7">
        <v>81.208949421840501</v>
      </c>
      <c r="I7" t="str">
        <f t="shared" si="1"/>
        <v>bar</v>
      </c>
      <c r="J7">
        <v>411</v>
      </c>
      <c r="K7">
        <f t="shared" si="0"/>
        <v>95</v>
      </c>
    </row>
    <row r="8" spans="1:11" x14ac:dyDescent="0.2">
      <c r="A8" t="s">
        <v>14</v>
      </c>
      <c r="B8">
        <v>910.0439453125</v>
      </c>
      <c r="C8">
        <v>6.6755018054802902</v>
      </c>
      <c r="D8">
        <v>27.340139251656101</v>
      </c>
      <c r="E8">
        <v>34.915414239187299</v>
      </c>
      <c r="F8">
        <v>0.98186278760006895</v>
      </c>
      <c r="G8">
        <v>78.122748727031706</v>
      </c>
      <c r="H8">
        <v>82.614141201916496</v>
      </c>
      <c r="I8" t="str">
        <f t="shared" si="1"/>
        <v>bar</v>
      </c>
      <c r="J8">
        <v>411</v>
      </c>
      <c r="K8">
        <f t="shared" si="0"/>
        <v>96</v>
      </c>
    </row>
    <row r="9" spans="1:11" x14ac:dyDescent="0.2">
      <c r="A9" t="s">
        <v>15</v>
      </c>
      <c r="B9">
        <v>1013.9189453125</v>
      </c>
      <c r="C9">
        <v>5.9916032026875898</v>
      </c>
      <c r="D9">
        <v>27.723708329638701</v>
      </c>
      <c r="E9">
        <v>35.299612448428</v>
      </c>
      <c r="F9">
        <v>0.98460262018094302</v>
      </c>
      <c r="G9">
        <v>78.946488236709598</v>
      </c>
      <c r="H9">
        <v>84.2396723986826</v>
      </c>
      <c r="I9" t="str">
        <f t="shared" si="1"/>
        <v>bar</v>
      </c>
      <c r="J9">
        <v>411</v>
      </c>
      <c r="K9">
        <f t="shared" si="0"/>
        <v>97</v>
      </c>
    </row>
    <row r="10" spans="1:11" x14ac:dyDescent="0.2">
      <c r="A10" t="s">
        <v>16</v>
      </c>
      <c r="B10">
        <v>1178.6904296875</v>
      </c>
      <c r="C10">
        <v>5.1540250493173403</v>
      </c>
      <c r="D10">
        <v>27.7378118316139</v>
      </c>
      <c r="E10">
        <v>35.313098612619903</v>
      </c>
      <c r="F10">
        <v>0.98555237443172194</v>
      </c>
      <c r="G10">
        <v>78.975148525569793</v>
      </c>
      <c r="H10">
        <v>84.814143407278394</v>
      </c>
      <c r="I10" t="str">
        <f t="shared" si="1"/>
        <v>bar</v>
      </c>
      <c r="J10">
        <v>411</v>
      </c>
      <c r="K10">
        <f t="shared" si="0"/>
        <v>98</v>
      </c>
    </row>
    <row r="11" spans="1:11" x14ac:dyDescent="0.2">
      <c r="A11" t="s">
        <v>17</v>
      </c>
      <c r="B11">
        <v>1470.2412109375</v>
      </c>
      <c r="C11">
        <v>4.1319750492684602</v>
      </c>
      <c r="D11">
        <v>27.743693676311899</v>
      </c>
      <c r="E11">
        <v>35.318821924376103</v>
      </c>
      <c r="F11">
        <v>0.984438471440096</v>
      </c>
      <c r="G11">
        <v>78.987306644136197</v>
      </c>
      <c r="H11">
        <v>84.140963421580196</v>
      </c>
      <c r="I11" t="str">
        <f t="shared" si="1"/>
        <v>bar</v>
      </c>
      <c r="J11">
        <v>411</v>
      </c>
      <c r="K11">
        <f t="shared" si="0"/>
        <v>99</v>
      </c>
    </row>
    <row r="12" spans="1:11" x14ac:dyDescent="0.2">
      <c r="A12" t="s">
        <v>18</v>
      </c>
      <c r="B12">
        <v>1607.896484375</v>
      </c>
      <c r="C12">
        <v>3.7782282995421799</v>
      </c>
      <c r="D12">
        <v>28.030759163282799</v>
      </c>
      <c r="E12">
        <v>35.606841372292699</v>
      </c>
      <c r="F12">
        <v>0.98769088876757805</v>
      </c>
      <c r="G12">
        <v>79.595619656721496</v>
      </c>
      <c r="H12">
        <v>86.128789182614099</v>
      </c>
      <c r="I12" t="str">
        <f t="shared" si="1"/>
        <v>bar</v>
      </c>
      <c r="J12">
        <v>411</v>
      </c>
      <c r="K12">
        <f t="shared" si="0"/>
        <v>100</v>
      </c>
    </row>
    <row r="13" spans="1:11" x14ac:dyDescent="0.2">
      <c r="A13" t="s">
        <v>19</v>
      </c>
      <c r="B13">
        <v>574.7734375</v>
      </c>
      <c r="C13">
        <v>10.569381957564801</v>
      </c>
      <c r="D13">
        <v>29.7404352605258</v>
      </c>
      <c r="E13">
        <v>35.075056774387498</v>
      </c>
      <c r="F13">
        <v>0.96557362272036495</v>
      </c>
      <c r="G13">
        <v>78.466806465525394</v>
      </c>
      <c r="H13">
        <v>73.855433715995304</v>
      </c>
      <c r="I13" t="str">
        <f t="shared" si="1"/>
        <v>building</v>
      </c>
      <c r="J13">
        <v>411</v>
      </c>
      <c r="K13">
        <f t="shared" si="0"/>
        <v>90</v>
      </c>
    </row>
    <row r="14" spans="1:11" x14ac:dyDescent="0.2">
      <c r="A14" t="s">
        <v>20</v>
      </c>
      <c r="B14">
        <v>602.771484375</v>
      </c>
      <c r="C14">
        <v>10.078446239538099</v>
      </c>
      <c r="D14">
        <v>30.083039862888199</v>
      </c>
      <c r="E14">
        <v>35.417916091552698</v>
      </c>
      <c r="F14">
        <v>0.96802413561571998</v>
      </c>
      <c r="G14">
        <v>79.197365528359896</v>
      </c>
      <c r="H14">
        <v>75.079761641322904</v>
      </c>
      <c r="I14" t="str">
        <f t="shared" si="1"/>
        <v>building</v>
      </c>
      <c r="J14">
        <v>411</v>
      </c>
      <c r="K14">
        <f t="shared" si="0"/>
        <v>91</v>
      </c>
    </row>
    <row r="15" spans="1:11" x14ac:dyDescent="0.2">
      <c r="A15" t="s">
        <v>21</v>
      </c>
      <c r="B15">
        <v>635.4296875</v>
      </c>
      <c r="C15">
        <v>9.5604598266428997</v>
      </c>
      <c r="D15">
        <v>30.086784212005</v>
      </c>
      <c r="E15">
        <v>35.421498131690903</v>
      </c>
      <c r="F15">
        <v>0.96783988044304603</v>
      </c>
      <c r="G15">
        <v>79.204943135975697</v>
      </c>
      <c r="H15">
        <v>74.986612397857698</v>
      </c>
      <c r="I15" t="str">
        <f t="shared" si="1"/>
        <v>building</v>
      </c>
      <c r="J15">
        <v>411</v>
      </c>
      <c r="K15">
        <f t="shared" si="0"/>
        <v>92</v>
      </c>
    </row>
    <row r="16" spans="1:11" x14ac:dyDescent="0.2">
      <c r="A16" t="s">
        <v>22</v>
      </c>
      <c r="B16">
        <v>688.88671875</v>
      </c>
      <c r="C16">
        <v>8.8185761673896401</v>
      </c>
      <c r="D16">
        <v>30.462830828170102</v>
      </c>
      <c r="E16">
        <v>35.792163633569103</v>
      </c>
      <c r="F16">
        <v>0.97021173940490502</v>
      </c>
      <c r="G16">
        <v>79.983672542585893</v>
      </c>
      <c r="H16">
        <v>76.199485765788296</v>
      </c>
      <c r="I16" t="str">
        <f t="shared" si="1"/>
        <v>building</v>
      </c>
      <c r="J16">
        <v>411</v>
      </c>
      <c r="K16">
        <f t="shared" si="0"/>
        <v>93</v>
      </c>
    </row>
    <row r="17" spans="1:11" x14ac:dyDescent="0.2">
      <c r="A17" t="s">
        <v>23</v>
      </c>
      <c r="B17">
        <v>752.4716796875</v>
      </c>
      <c r="C17">
        <v>8.0733935428944505</v>
      </c>
      <c r="D17">
        <v>30.7188653515265</v>
      </c>
      <c r="E17">
        <v>36.0483513936733</v>
      </c>
      <c r="F17">
        <v>0.97196515084947199</v>
      </c>
      <c r="G17">
        <v>80.516324492771901</v>
      </c>
      <c r="H17">
        <v>77.115613851813805</v>
      </c>
      <c r="I17" t="str">
        <f t="shared" si="1"/>
        <v>building</v>
      </c>
      <c r="J17">
        <v>411</v>
      </c>
      <c r="K17">
        <f t="shared" si="0"/>
        <v>94</v>
      </c>
    </row>
    <row r="18" spans="1:11" x14ac:dyDescent="0.2">
      <c r="A18" t="s">
        <v>24</v>
      </c>
      <c r="B18">
        <v>835.0908203125</v>
      </c>
      <c r="C18">
        <v>7.2746578602392802</v>
      </c>
      <c r="D18">
        <v>30.6036948174415</v>
      </c>
      <c r="E18">
        <v>35.9327120177458</v>
      </c>
      <c r="F18">
        <v>0.97128426793691702</v>
      </c>
      <c r="G18">
        <v>80.276405674799804</v>
      </c>
      <c r="H18">
        <v>76.757870245229199</v>
      </c>
      <c r="I18" t="str">
        <f t="shared" si="1"/>
        <v>building</v>
      </c>
      <c r="J18">
        <v>411</v>
      </c>
      <c r="K18">
        <f t="shared" si="0"/>
        <v>95</v>
      </c>
    </row>
    <row r="19" spans="1:11" x14ac:dyDescent="0.2">
      <c r="A19" t="s">
        <v>25</v>
      </c>
      <c r="B19">
        <v>936.802734375</v>
      </c>
      <c r="C19">
        <v>6.4848230871710797</v>
      </c>
      <c r="D19">
        <v>30.994863396285801</v>
      </c>
      <c r="E19">
        <v>36.329804197617598</v>
      </c>
      <c r="F19">
        <v>0.97408608053436196</v>
      </c>
      <c r="G19">
        <v>81.097065233881807</v>
      </c>
      <c r="H19">
        <v>78.2464264898545</v>
      </c>
      <c r="I19" t="str">
        <f t="shared" si="1"/>
        <v>building</v>
      </c>
      <c r="J19">
        <v>411</v>
      </c>
      <c r="K19">
        <f t="shared" si="0"/>
        <v>96</v>
      </c>
    </row>
    <row r="20" spans="1:11" x14ac:dyDescent="0.2">
      <c r="A20" t="s">
        <v>26</v>
      </c>
      <c r="B20">
        <v>1038.671875</v>
      </c>
      <c r="C20">
        <v>5.84881534411433</v>
      </c>
      <c r="D20">
        <v>31.4941203492372</v>
      </c>
      <c r="E20">
        <v>36.8295871624236</v>
      </c>
      <c r="F20">
        <v>0.97740640530809397</v>
      </c>
      <c r="G20">
        <v>82.118820026485295</v>
      </c>
      <c r="H20">
        <v>80.067855760706607</v>
      </c>
      <c r="I20" t="str">
        <f t="shared" si="1"/>
        <v>building</v>
      </c>
      <c r="J20">
        <v>411</v>
      </c>
      <c r="K20">
        <f t="shared" si="0"/>
        <v>97</v>
      </c>
    </row>
    <row r="21" spans="1:11" x14ac:dyDescent="0.2">
      <c r="A21" t="s">
        <v>27</v>
      </c>
      <c r="B21">
        <v>1216.09375</v>
      </c>
      <c r="C21">
        <v>4.9955030194012604</v>
      </c>
      <c r="D21">
        <v>31.3322849095136</v>
      </c>
      <c r="E21">
        <v>36.667303956047299</v>
      </c>
      <c r="F21">
        <v>0.97617219354102802</v>
      </c>
      <c r="G21">
        <v>81.788231907294602</v>
      </c>
      <c r="H21">
        <v>79.3834063091047</v>
      </c>
      <c r="I21" t="str">
        <f t="shared" si="1"/>
        <v>building</v>
      </c>
      <c r="J21">
        <v>411</v>
      </c>
      <c r="K21">
        <f t="shared" si="0"/>
        <v>98</v>
      </c>
    </row>
    <row r="22" spans="1:11" x14ac:dyDescent="0.2">
      <c r="A22" t="s">
        <v>28</v>
      </c>
      <c r="B22">
        <v>1527.0009765625</v>
      </c>
      <c r="C22">
        <v>3.9783864537373801</v>
      </c>
      <c r="D22">
        <v>31.3551934364252</v>
      </c>
      <c r="E22">
        <v>36.689762735441398</v>
      </c>
      <c r="F22">
        <v>0.97403871240781104</v>
      </c>
      <c r="G22">
        <v>81.834046182471894</v>
      </c>
      <c r="H22">
        <v>78.220896658973302</v>
      </c>
      <c r="I22" t="str">
        <f t="shared" si="1"/>
        <v>building</v>
      </c>
      <c r="J22">
        <v>411</v>
      </c>
      <c r="K22">
        <f t="shared" si="0"/>
        <v>99</v>
      </c>
    </row>
    <row r="23" spans="1:11" x14ac:dyDescent="0.2">
      <c r="A23" t="s">
        <v>29</v>
      </c>
      <c r="B23">
        <v>1669.8798828125</v>
      </c>
      <c r="C23">
        <v>3.6379862183668901</v>
      </c>
      <c r="D23">
        <v>31.7623089697531</v>
      </c>
      <c r="E23">
        <v>37.097694493859898</v>
      </c>
      <c r="F23">
        <v>0.97964800581450395</v>
      </c>
      <c r="G23">
        <v>82.662823044909999</v>
      </c>
      <c r="H23">
        <v>81.3338067626796</v>
      </c>
      <c r="I23" t="str">
        <f t="shared" si="1"/>
        <v>building</v>
      </c>
      <c r="J23">
        <v>411</v>
      </c>
      <c r="K23">
        <f t="shared" si="0"/>
        <v>100</v>
      </c>
    </row>
    <row r="24" spans="1:11" x14ac:dyDescent="0.2">
      <c r="A24" t="s">
        <v>30</v>
      </c>
      <c r="B24">
        <v>235.9853515625</v>
      </c>
      <c r="C24">
        <v>25.743123290392301</v>
      </c>
      <c r="D24">
        <v>28.9893882653652</v>
      </c>
      <c r="E24">
        <v>39.493772518028301</v>
      </c>
      <c r="F24">
        <v>0.98714627862153004</v>
      </c>
      <c r="G24">
        <v>87.450441698306506</v>
      </c>
      <c r="H24">
        <v>85.791188096592805</v>
      </c>
      <c r="I24" t="str">
        <f t="shared" si="1"/>
        <v>character</v>
      </c>
      <c r="J24">
        <v>411</v>
      </c>
      <c r="K24">
        <f t="shared" si="0"/>
        <v>90</v>
      </c>
    </row>
    <row r="25" spans="1:11" x14ac:dyDescent="0.2">
      <c r="A25" t="s">
        <v>31</v>
      </c>
      <c r="B25">
        <v>258.54296875</v>
      </c>
      <c r="C25">
        <v>23.4970613564597</v>
      </c>
      <c r="D25">
        <v>29.144298116429301</v>
      </c>
      <c r="E25">
        <v>39.648632600486302</v>
      </c>
      <c r="F25">
        <v>0.98751848656289098</v>
      </c>
      <c r="G25">
        <v>87.757157521736204</v>
      </c>
      <c r="H25">
        <v>86.021709232664804</v>
      </c>
      <c r="I25" t="str">
        <f t="shared" si="1"/>
        <v>character</v>
      </c>
      <c r="J25">
        <v>411</v>
      </c>
      <c r="K25">
        <f t="shared" si="0"/>
        <v>91</v>
      </c>
    </row>
    <row r="26" spans="1:11" x14ac:dyDescent="0.2">
      <c r="A26" t="s">
        <v>32</v>
      </c>
      <c r="B26">
        <v>276.93359375</v>
      </c>
      <c r="C26">
        <v>21.936666901756102</v>
      </c>
      <c r="D26">
        <v>29.169520405290498</v>
      </c>
      <c r="E26">
        <v>39.673596838299297</v>
      </c>
      <c r="F26">
        <v>0.98758031319093997</v>
      </c>
      <c r="G26">
        <v>87.806583787921696</v>
      </c>
      <c r="H26">
        <v>86.060087820762007</v>
      </c>
      <c r="I26" t="str">
        <f t="shared" si="1"/>
        <v>character</v>
      </c>
      <c r="J26">
        <v>411</v>
      </c>
      <c r="K26">
        <f t="shared" si="0"/>
        <v>92</v>
      </c>
    </row>
    <row r="27" spans="1:11" x14ac:dyDescent="0.2">
      <c r="A27" t="s">
        <v>33</v>
      </c>
      <c r="B27">
        <v>316.17578125</v>
      </c>
      <c r="C27">
        <v>19.213995379350401</v>
      </c>
      <c r="D27">
        <v>29.4058647209513</v>
      </c>
      <c r="E27">
        <v>39.901573564045997</v>
      </c>
      <c r="F27">
        <v>0.98831017434327795</v>
      </c>
      <c r="G27">
        <v>88.257738146801003</v>
      </c>
      <c r="H27">
        <v>86.5150319131656</v>
      </c>
      <c r="I27" t="str">
        <f t="shared" si="1"/>
        <v>character</v>
      </c>
      <c r="J27">
        <v>411</v>
      </c>
      <c r="K27">
        <f t="shared" si="0"/>
        <v>93</v>
      </c>
    </row>
    <row r="28" spans="1:11" x14ac:dyDescent="0.2">
      <c r="A28" t="s">
        <v>34</v>
      </c>
      <c r="B28">
        <v>360.720703125</v>
      </c>
      <c r="C28">
        <v>16.8412845377906</v>
      </c>
      <c r="D28">
        <v>29.5727569457102</v>
      </c>
      <c r="E28">
        <v>40.068261293511497</v>
      </c>
      <c r="F28">
        <v>0.98861707600899995</v>
      </c>
      <c r="G28">
        <v>88.587380282060295</v>
      </c>
      <c r="H28">
        <v>86.707375537899495</v>
      </c>
      <c r="I28" t="str">
        <f t="shared" si="1"/>
        <v>character</v>
      </c>
      <c r="J28">
        <v>411</v>
      </c>
      <c r="K28">
        <f t="shared" si="0"/>
        <v>94</v>
      </c>
    </row>
    <row r="29" spans="1:11" x14ac:dyDescent="0.2">
      <c r="A29" t="s">
        <v>35</v>
      </c>
      <c r="B29">
        <v>421.912109375</v>
      </c>
      <c r="C29">
        <v>14.3987334447433</v>
      </c>
      <c r="D29">
        <v>29.552161417935601</v>
      </c>
      <c r="E29">
        <v>40.0473209571024</v>
      </c>
      <c r="F29">
        <v>0.98852966153561195</v>
      </c>
      <c r="G29">
        <v>88.545978304575101</v>
      </c>
      <c r="H29">
        <v>86.652527421887001</v>
      </c>
      <c r="I29" t="str">
        <f t="shared" si="1"/>
        <v>character</v>
      </c>
      <c r="J29">
        <v>411</v>
      </c>
      <c r="K29">
        <f t="shared" si="0"/>
        <v>95</v>
      </c>
    </row>
    <row r="30" spans="1:11" x14ac:dyDescent="0.2">
      <c r="A30" t="s">
        <v>36</v>
      </c>
      <c r="B30">
        <v>514.494140625</v>
      </c>
      <c r="C30">
        <v>11.807714646896001</v>
      </c>
      <c r="D30">
        <v>29.8394030923122</v>
      </c>
      <c r="E30">
        <v>40.342743600695599</v>
      </c>
      <c r="F30">
        <v>0.98915435444967703</v>
      </c>
      <c r="G30">
        <v>89.129833239573003</v>
      </c>
      <c r="H30">
        <v>87.045597216375896</v>
      </c>
      <c r="I30" t="str">
        <f t="shared" si="1"/>
        <v>character</v>
      </c>
      <c r="J30">
        <v>411</v>
      </c>
      <c r="K30">
        <f t="shared" si="0"/>
        <v>96</v>
      </c>
    </row>
    <row r="31" spans="1:11" x14ac:dyDescent="0.2">
      <c r="A31" t="s">
        <v>37</v>
      </c>
      <c r="B31">
        <v>603.837890625</v>
      </c>
      <c r="C31">
        <v>10.060647227208801</v>
      </c>
      <c r="D31">
        <v>30.3077358886861</v>
      </c>
      <c r="E31">
        <v>40.811214451523703</v>
      </c>
      <c r="F31">
        <v>0.99048234592328699</v>
      </c>
      <c r="G31">
        <v>90.054778262490302</v>
      </c>
      <c r="H31">
        <v>87.889805876439596</v>
      </c>
      <c r="I31" t="str">
        <f t="shared" si="1"/>
        <v>character</v>
      </c>
      <c r="J31">
        <v>411</v>
      </c>
      <c r="K31">
        <f t="shared" si="0"/>
        <v>97</v>
      </c>
    </row>
    <row r="32" spans="1:11" x14ac:dyDescent="0.2">
      <c r="A32" t="s">
        <v>38</v>
      </c>
      <c r="B32">
        <v>765.0224609375</v>
      </c>
      <c r="C32">
        <v>7.9409433189129697</v>
      </c>
      <c r="D32">
        <v>30.3132671944348</v>
      </c>
      <c r="E32">
        <v>40.816020286913201</v>
      </c>
      <c r="F32">
        <v>0.99078873906971099</v>
      </c>
      <c r="G32">
        <v>90.064261865413897</v>
      </c>
      <c r="H32">
        <v>88.086256796844097</v>
      </c>
      <c r="I32" t="str">
        <f t="shared" si="1"/>
        <v>character</v>
      </c>
      <c r="J32">
        <v>411</v>
      </c>
      <c r="K32">
        <f t="shared" si="0"/>
        <v>98</v>
      </c>
    </row>
    <row r="33" spans="1:11" x14ac:dyDescent="0.2">
      <c r="A33" t="s">
        <v>39</v>
      </c>
      <c r="B33">
        <v>1055.3173828125</v>
      </c>
      <c r="C33">
        <v>5.7565620532182198</v>
      </c>
      <c r="D33">
        <v>29.9068886272571</v>
      </c>
      <c r="E33">
        <v>40.408991053324499</v>
      </c>
      <c r="F33">
        <v>0.98761585632332705</v>
      </c>
      <c r="G33">
        <v>89.260694912018295</v>
      </c>
      <c r="H33">
        <v>86.082162322358997</v>
      </c>
      <c r="I33" t="str">
        <f t="shared" si="1"/>
        <v>character</v>
      </c>
      <c r="J33">
        <v>411</v>
      </c>
      <c r="K33">
        <f t="shared" si="0"/>
        <v>99</v>
      </c>
    </row>
    <row r="34" spans="1:11" x14ac:dyDescent="0.2">
      <c r="A34" t="s">
        <v>40</v>
      </c>
      <c r="B34">
        <v>1161.6728515625</v>
      </c>
      <c r="C34">
        <v>5.2295273939034201</v>
      </c>
      <c r="D34">
        <v>30.862010933926001</v>
      </c>
      <c r="E34">
        <v>41.365501156561102</v>
      </c>
      <c r="F34">
        <v>0.99228141512824497</v>
      </c>
      <c r="G34">
        <v>91.148028946270998</v>
      </c>
      <c r="H34">
        <v>89.052406226479903</v>
      </c>
      <c r="I34" t="str">
        <f t="shared" si="1"/>
        <v>character</v>
      </c>
      <c r="J34">
        <v>411</v>
      </c>
      <c r="K34">
        <f t="shared" si="0"/>
        <v>100</v>
      </c>
    </row>
    <row r="35" spans="1:11" x14ac:dyDescent="0.2">
      <c r="A35" t="s">
        <v>41</v>
      </c>
      <c r="B35">
        <v>392.208984375</v>
      </c>
      <c r="C35">
        <v>15.489191329160301</v>
      </c>
      <c r="D35">
        <v>26.389827797775901</v>
      </c>
      <c r="E35">
        <v>33.332702758790298</v>
      </c>
      <c r="F35">
        <v>0.97449141494181901</v>
      </c>
      <c r="G35">
        <v>74.514139450305507</v>
      </c>
      <c r="H35">
        <v>78.465405908148796</v>
      </c>
      <c r="I35" t="str">
        <f t="shared" si="1"/>
        <v>earth</v>
      </c>
      <c r="J35">
        <v>411</v>
      </c>
      <c r="K35">
        <f t="shared" si="0"/>
        <v>90</v>
      </c>
    </row>
    <row r="36" spans="1:11" x14ac:dyDescent="0.2">
      <c r="A36" t="s">
        <v>42</v>
      </c>
      <c r="B36">
        <v>414.4287109375</v>
      </c>
      <c r="C36">
        <v>14.6587334315169</v>
      </c>
      <c r="D36">
        <v>26.658375311184301</v>
      </c>
      <c r="E36">
        <v>33.601452041775403</v>
      </c>
      <c r="F36">
        <v>0.97587091509479595</v>
      </c>
      <c r="G36">
        <v>75.159344837557796</v>
      </c>
      <c r="H36">
        <v>79.217665949279805</v>
      </c>
      <c r="I36" t="str">
        <f t="shared" si="1"/>
        <v>earth</v>
      </c>
      <c r="J36">
        <v>411</v>
      </c>
      <c r="K36">
        <f t="shared" si="0"/>
        <v>91</v>
      </c>
    </row>
    <row r="37" spans="1:11" x14ac:dyDescent="0.2">
      <c r="A37" t="s">
        <v>43</v>
      </c>
      <c r="B37">
        <v>440.1962890625</v>
      </c>
      <c r="C37">
        <v>13.800661547915601</v>
      </c>
      <c r="D37">
        <v>26.6126490271275</v>
      </c>
      <c r="E37">
        <v>33.555001038715503</v>
      </c>
      <c r="F37">
        <v>0.97578638040182797</v>
      </c>
      <c r="G37">
        <v>75.049004092762203</v>
      </c>
      <c r="H37">
        <v>79.171255197161102</v>
      </c>
      <c r="I37" t="str">
        <f t="shared" si="1"/>
        <v>earth</v>
      </c>
      <c r="J37">
        <v>411</v>
      </c>
      <c r="K37">
        <f t="shared" si="0"/>
        <v>92</v>
      </c>
    </row>
    <row r="38" spans="1:11" x14ac:dyDescent="0.2">
      <c r="A38" t="s">
        <v>44</v>
      </c>
      <c r="B38">
        <v>480.5517578125</v>
      </c>
      <c r="C38">
        <v>12.6417184023085</v>
      </c>
      <c r="D38">
        <v>26.862905733237199</v>
      </c>
      <c r="E38">
        <v>33.800820250317102</v>
      </c>
      <c r="F38">
        <v>0.97717221214910199</v>
      </c>
      <c r="G38">
        <v>75.627759081933803</v>
      </c>
      <c r="H38">
        <v>79.9373002088482</v>
      </c>
      <c r="I38" t="str">
        <f t="shared" si="1"/>
        <v>earth</v>
      </c>
      <c r="J38">
        <v>411</v>
      </c>
      <c r="K38">
        <f t="shared" si="0"/>
        <v>93</v>
      </c>
    </row>
    <row r="39" spans="1:11" x14ac:dyDescent="0.2">
      <c r="A39" t="s">
        <v>45</v>
      </c>
      <c r="B39">
        <v>530.3447265625</v>
      </c>
      <c r="C39">
        <v>11.454813625424199</v>
      </c>
      <c r="D39">
        <v>26.999710107363999</v>
      </c>
      <c r="E39">
        <v>33.937324662340501</v>
      </c>
      <c r="F39">
        <v>0.97803841586416096</v>
      </c>
      <c r="G39">
        <v>75.943939341036796</v>
      </c>
      <c r="H39">
        <v>80.421783665828102</v>
      </c>
      <c r="I39" t="str">
        <f t="shared" si="1"/>
        <v>earth</v>
      </c>
      <c r="J39">
        <v>411</v>
      </c>
      <c r="K39">
        <f t="shared" si="0"/>
        <v>94</v>
      </c>
    </row>
    <row r="40" spans="1:11" x14ac:dyDescent="0.2">
      <c r="A40" t="s">
        <v>46</v>
      </c>
      <c r="B40">
        <v>601.4560546875</v>
      </c>
      <c r="C40">
        <v>10.100488560475799</v>
      </c>
      <c r="D40">
        <v>26.8274531853762</v>
      </c>
      <c r="E40">
        <v>33.763778941013904</v>
      </c>
      <c r="F40">
        <v>0.97740379404671696</v>
      </c>
      <c r="G40">
        <v>75.541343112715495</v>
      </c>
      <c r="H40">
        <v>80.0663982972724</v>
      </c>
      <c r="I40" t="str">
        <f t="shared" si="1"/>
        <v>earth</v>
      </c>
      <c r="J40">
        <v>411</v>
      </c>
      <c r="K40">
        <f t="shared" si="0"/>
        <v>95</v>
      </c>
    </row>
    <row r="41" spans="1:11" x14ac:dyDescent="0.2">
      <c r="A41" t="s">
        <v>47</v>
      </c>
      <c r="B41">
        <v>682.4619140625</v>
      </c>
      <c r="C41">
        <v>8.9015956419271305</v>
      </c>
      <c r="D41">
        <v>27.0689643588763</v>
      </c>
      <c r="E41">
        <v>34.0096036838694</v>
      </c>
      <c r="F41">
        <v>0.978733595156278</v>
      </c>
      <c r="G41">
        <v>76.109964017567606</v>
      </c>
      <c r="H41">
        <v>80.813800096973907</v>
      </c>
      <c r="I41" t="str">
        <f t="shared" si="1"/>
        <v>earth</v>
      </c>
      <c r="J41">
        <v>411</v>
      </c>
      <c r="K41">
        <f t="shared" si="0"/>
        <v>96</v>
      </c>
    </row>
    <row r="42" spans="1:11" x14ac:dyDescent="0.2">
      <c r="A42" t="s">
        <v>48</v>
      </c>
      <c r="B42">
        <v>761.125</v>
      </c>
      <c r="C42">
        <v>7.9816061750697997</v>
      </c>
      <c r="D42">
        <v>27.416074693508499</v>
      </c>
      <c r="E42">
        <v>34.356642117083503</v>
      </c>
      <c r="F42">
        <v>0.98085235095651502</v>
      </c>
      <c r="G42">
        <v>76.8948923431862</v>
      </c>
      <c r="H42">
        <v>82.026336021047001</v>
      </c>
      <c r="I42" t="str">
        <f t="shared" si="1"/>
        <v>earth</v>
      </c>
      <c r="J42">
        <v>411</v>
      </c>
      <c r="K42">
        <f t="shared" si="0"/>
        <v>97</v>
      </c>
    </row>
    <row r="43" spans="1:11" x14ac:dyDescent="0.2">
      <c r="A43" t="s">
        <v>49</v>
      </c>
      <c r="B43">
        <v>917.1162109375</v>
      </c>
      <c r="C43">
        <v>6.62402422675527</v>
      </c>
      <c r="D43">
        <v>27.275492154226601</v>
      </c>
      <c r="E43">
        <v>34.215100231933903</v>
      </c>
      <c r="F43">
        <v>0.97982679714543897</v>
      </c>
      <c r="G43">
        <v>76.577080951649606</v>
      </c>
      <c r="H43">
        <v>81.436065010424699</v>
      </c>
      <c r="I43" t="str">
        <f t="shared" si="1"/>
        <v>earth</v>
      </c>
      <c r="J43">
        <v>411</v>
      </c>
      <c r="K43">
        <f t="shared" si="0"/>
        <v>98</v>
      </c>
    </row>
    <row r="44" spans="1:11" x14ac:dyDescent="0.2">
      <c r="A44" t="s">
        <v>50</v>
      </c>
      <c r="B44">
        <v>1166.6865234375</v>
      </c>
      <c r="C44">
        <v>5.2070542326149001</v>
      </c>
      <c r="D44">
        <v>27.368103125346401</v>
      </c>
      <c r="E44">
        <v>34.307425563801999</v>
      </c>
      <c r="F44">
        <v>0.98017457889265003</v>
      </c>
      <c r="G44">
        <v>76.784728825837504</v>
      </c>
      <c r="H44">
        <v>81.635525273304395</v>
      </c>
      <c r="I44" t="str">
        <f t="shared" si="1"/>
        <v>earth</v>
      </c>
      <c r="J44">
        <v>411</v>
      </c>
      <c r="K44">
        <f t="shared" si="0"/>
        <v>99</v>
      </c>
    </row>
    <row r="45" spans="1:11" x14ac:dyDescent="0.2">
      <c r="A45" t="s">
        <v>51</v>
      </c>
      <c r="B45">
        <v>1290.060546875</v>
      </c>
      <c r="C45">
        <v>4.7090813022039004</v>
      </c>
      <c r="D45">
        <v>27.5668249327003</v>
      </c>
      <c r="E45">
        <v>34.505332045619703</v>
      </c>
      <c r="F45">
        <v>0.98240521526012503</v>
      </c>
      <c r="G45">
        <v>77.225587414543597</v>
      </c>
      <c r="H45">
        <v>82.932266213526205</v>
      </c>
      <c r="I45" t="str">
        <f t="shared" si="1"/>
        <v>earth</v>
      </c>
      <c r="J45">
        <v>411</v>
      </c>
      <c r="K45">
        <f t="shared" si="0"/>
        <v>100</v>
      </c>
    </row>
    <row r="46" spans="1:11" x14ac:dyDescent="0.2">
      <c r="A46" t="s">
        <v>52</v>
      </c>
      <c r="B46">
        <v>234.0244140625</v>
      </c>
      <c r="C46">
        <v>25.958830083333002</v>
      </c>
      <c r="D46">
        <v>35.736855267911999</v>
      </c>
      <c r="E46">
        <v>41.674297578661402</v>
      </c>
      <c r="F46">
        <v>0.98572829622007496</v>
      </c>
      <c r="G46">
        <v>91.756673970837895</v>
      </c>
      <c r="H46">
        <v>84.921181362611193</v>
      </c>
      <c r="I46" t="str">
        <f t="shared" si="1"/>
        <v>flower</v>
      </c>
      <c r="J46">
        <v>411</v>
      </c>
      <c r="K46">
        <f t="shared" si="0"/>
        <v>90</v>
      </c>
    </row>
    <row r="47" spans="1:11" x14ac:dyDescent="0.2">
      <c r="A47" t="s">
        <v>53</v>
      </c>
      <c r="B47">
        <v>258.279296875</v>
      </c>
      <c r="C47">
        <v>23.5210490097475</v>
      </c>
      <c r="D47">
        <v>35.859256998973997</v>
      </c>
      <c r="E47">
        <v>41.796697080403298</v>
      </c>
      <c r="F47">
        <v>0.98612869700049899</v>
      </c>
      <c r="G47">
        <v>91.997858942513503</v>
      </c>
      <c r="H47">
        <v>85.165538867794595</v>
      </c>
      <c r="I47" t="str">
        <f t="shared" si="1"/>
        <v>flower</v>
      </c>
      <c r="J47">
        <v>411</v>
      </c>
      <c r="K47">
        <f t="shared" si="0"/>
        <v>91</v>
      </c>
    </row>
    <row r="48" spans="1:11" x14ac:dyDescent="0.2">
      <c r="A48" t="s">
        <v>54</v>
      </c>
      <c r="B48">
        <v>273.810546875</v>
      </c>
      <c r="C48">
        <v>22.186873622415099</v>
      </c>
      <c r="D48">
        <v>35.887775656446898</v>
      </c>
      <c r="E48">
        <v>41.825188147933801</v>
      </c>
      <c r="F48">
        <v>0.98622251671272798</v>
      </c>
      <c r="G48">
        <v>92.053994814700204</v>
      </c>
      <c r="H48">
        <v>85.222943902939093</v>
      </c>
      <c r="I48" t="str">
        <f t="shared" si="1"/>
        <v>flower</v>
      </c>
      <c r="J48">
        <v>411</v>
      </c>
      <c r="K48">
        <f t="shared" si="0"/>
        <v>92</v>
      </c>
    </row>
    <row r="49" spans="1:11" x14ac:dyDescent="0.2">
      <c r="A49" t="s">
        <v>55</v>
      </c>
      <c r="B49">
        <v>316.92578125</v>
      </c>
      <c r="C49">
        <v>19.1685257540089</v>
      </c>
      <c r="D49">
        <v>36.135313763610597</v>
      </c>
      <c r="E49">
        <v>42.065800184226397</v>
      </c>
      <c r="F49">
        <v>0.98676839662056504</v>
      </c>
      <c r="G49">
        <v>92.528001813555704</v>
      </c>
      <c r="H49">
        <v>85.558071632253601</v>
      </c>
      <c r="I49" t="str">
        <f t="shared" si="1"/>
        <v>flower</v>
      </c>
      <c r="J49">
        <v>411</v>
      </c>
      <c r="K49">
        <f t="shared" si="0"/>
        <v>93</v>
      </c>
    </row>
    <row r="50" spans="1:11" x14ac:dyDescent="0.2">
      <c r="A50" t="s">
        <v>56</v>
      </c>
      <c r="B50">
        <v>370.65625</v>
      </c>
      <c r="C50">
        <v>16.389849085237302</v>
      </c>
      <c r="D50">
        <v>36.305749973717603</v>
      </c>
      <c r="E50">
        <v>42.236028569366802</v>
      </c>
      <c r="F50">
        <v>0.98726096115969197</v>
      </c>
      <c r="G50">
        <v>92.863282806014894</v>
      </c>
      <c r="H50">
        <v>85.862119020388704</v>
      </c>
      <c r="I50" t="str">
        <f t="shared" si="1"/>
        <v>flower</v>
      </c>
      <c r="J50">
        <v>411</v>
      </c>
      <c r="K50">
        <f t="shared" si="0"/>
        <v>94</v>
      </c>
    </row>
    <row r="51" spans="1:11" x14ac:dyDescent="0.2">
      <c r="A51" t="s">
        <v>57</v>
      </c>
      <c r="B51">
        <v>437.068359375</v>
      </c>
      <c r="C51">
        <v>13.899427560226799</v>
      </c>
      <c r="D51">
        <v>36.396792194799403</v>
      </c>
      <c r="E51">
        <v>42.326962892734798</v>
      </c>
      <c r="F51">
        <v>0.98758780110807998</v>
      </c>
      <c r="G51">
        <v>93.042365056206407</v>
      </c>
      <c r="H51">
        <v>86.064737599991105</v>
      </c>
      <c r="I51" t="str">
        <f t="shared" si="1"/>
        <v>flower</v>
      </c>
      <c r="J51">
        <v>411</v>
      </c>
      <c r="K51">
        <f t="shared" si="0"/>
        <v>95</v>
      </c>
    </row>
    <row r="52" spans="1:11" x14ac:dyDescent="0.2">
      <c r="A52" t="s">
        <v>58</v>
      </c>
      <c r="B52">
        <v>543.1650390625</v>
      </c>
      <c r="C52">
        <v>11.1844459107409</v>
      </c>
      <c r="D52">
        <v>36.7355521766981</v>
      </c>
      <c r="E52">
        <v>42.672558206195703</v>
      </c>
      <c r="F52">
        <v>0.98879764784919399</v>
      </c>
      <c r="G52">
        <v>93.722843891011095</v>
      </c>
      <c r="H52">
        <v>86.820834531426499</v>
      </c>
      <c r="I52" t="str">
        <f t="shared" si="1"/>
        <v>flower</v>
      </c>
      <c r="J52">
        <v>411</v>
      </c>
      <c r="K52">
        <f t="shared" si="0"/>
        <v>96</v>
      </c>
    </row>
    <row r="53" spans="1:11" x14ac:dyDescent="0.2">
      <c r="A53" t="s">
        <v>59</v>
      </c>
      <c r="B53">
        <v>634.091796875</v>
      </c>
      <c r="C53">
        <v>9.5806317475474003</v>
      </c>
      <c r="D53">
        <v>37.480273535844297</v>
      </c>
      <c r="E53">
        <v>43.417420708077799</v>
      </c>
      <c r="F53">
        <v>0.99082273059324699</v>
      </c>
      <c r="G53">
        <v>95.188952716207098</v>
      </c>
      <c r="H53">
        <v>88.108090180855498</v>
      </c>
      <c r="I53" t="str">
        <f t="shared" si="1"/>
        <v>flower</v>
      </c>
      <c r="J53">
        <v>411</v>
      </c>
      <c r="K53">
        <f t="shared" si="0"/>
        <v>97</v>
      </c>
    </row>
    <row r="54" spans="1:11" x14ac:dyDescent="0.2">
      <c r="A54" t="s">
        <v>60</v>
      </c>
      <c r="B54">
        <v>778.0546875</v>
      </c>
      <c r="C54">
        <v>7.8079344519082996</v>
      </c>
      <c r="D54">
        <v>38.023296056106602</v>
      </c>
      <c r="E54">
        <v>43.960248099875201</v>
      </c>
      <c r="F54">
        <v>0.99222889555954197</v>
      </c>
      <c r="G54">
        <v>96.257061960440197</v>
      </c>
      <c r="H54">
        <v>89.018154912837204</v>
      </c>
      <c r="I54" t="str">
        <f t="shared" si="1"/>
        <v>flower</v>
      </c>
      <c r="J54">
        <v>411</v>
      </c>
      <c r="K54">
        <f t="shared" si="0"/>
        <v>98</v>
      </c>
    </row>
    <row r="55" spans="1:11" x14ac:dyDescent="0.2">
      <c r="A55" t="s">
        <v>61</v>
      </c>
      <c r="B55">
        <v>1054.1318359375</v>
      </c>
      <c r="C55">
        <v>5.7630362663292098</v>
      </c>
      <c r="D55">
        <v>37.205274888789297</v>
      </c>
      <c r="E55">
        <v>43.141674593023097</v>
      </c>
      <c r="F55">
        <v>0.98956228498390597</v>
      </c>
      <c r="G55">
        <v>94.646274999343603</v>
      </c>
      <c r="H55">
        <v>87.303669487977501</v>
      </c>
      <c r="I55" t="str">
        <f t="shared" si="1"/>
        <v>flower</v>
      </c>
      <c r="J55">
        <v>411</v>
      </c>
      <c r="K55">
        <f t="shared" si="0"/>
        <v>99</v>
      </c>
    </row>
    <row r="56" spans="1:11" x14ac:dyDescent="0.2">
      <c r="A56" t="s">
        <v>62</v>
      </c>
      <c r="B56">
        <v>1142.8505859375</v>
      </c>
      <c r="C56">
        <v>5.3156554975352002</v>
      </c>
      <c r="D56">
        <v>39.068244214280099</v>
      </c>
      <c r="E56">
        <v>45.005618834747501</v>
      </c>
      <c r="F56">
        <v>0.99422828789614004</v>
      </c>
      <c r="G56">
        <v>98.313500441675004</v>
      </c>
      <c r="H56">
        <v>90.3354979805667</v>
      </c>
      <c r="I56" t="str">
        <f t="shared" si="1"/>
        <v>flower</v>
      </c>
      <c r="J56">
        <v>411</v>
      </c>
      <c r="K56">
        <f t="shared" si="0"/>
        <v>100</v>
      </c>
    </row>
    <row r="57" spans="1:11" x14ac:dyDescent="0.2">
      <c r="A57" t="s">
        <v>63</v>
      </c>
      <c r="B57">
        <v>437.603515625</v>
      </c>
      <c r="C57">
        <v>13.882429603709801</v>
      </c>
      <c r="D57">
        <v>22.811881323280101</v>
      </c>
      <c r="E57">
        <v>31.617772615617099</v>
      </c>
      <c r="F57">
        <v>0.97427764241277204</v>
      </c>
      <c r="G57">
        <v>69.860309997651697</v>
      </c>
      <c r="H57">
        <v>78.349800964936506</v>
      </c>
      <c r="I57" t="str">
        <f t="shared" si="1"/>
        <v>pcgame</v>
      </c>
      <c r="J57">
        <v>411</v>
      </c>
      <c r="K57">
        <f t="shared" si="0"/>
        <v>90</v>
      </c>
    </row>
    <row r="58" spans="1:11" x14ac:dyDescent="0.2">
      <c r="A58" t="s">
        <v>64</v>
      </c>
      <c r="B58">
        <v>452.939453125</v>
      </c>
      <c r="C58">
        <v>13.412388693646101</v>
      </c>
      <c r="D58">
        <v>23.0182564731385</v>
      </c>
      <c r="E58">
        <v>31.824507118355001</v>
      </c>
      <c r="F58">
        <v>0.97582772895340497</v>
      </c>
      <c r="G58">
        <v>70.484861891553095</v>
      </c>
      <c r="H58">
        <v>79.193951014008206</v>
      </c>
      <c r="I58" t="str">
        <f t="shared" si="1"/>
        <v>pcgame</v>
      </c>
      <c r="J58">
        <v>411</v>
      </c>
      <c r="K58">
        <f t="shared" si="0"/>
        <v>91</v>
      </c>
    </row>
    <row r="59" spans="1:11" x14ac:dyDescent="0.2">
      <c r="A59" t="s">
        <v>65</v>
      </c>
      <c r="B59">
        <v>473.7998046875</v>
      </c>
      <c r="C59">
        <v>12.821871051649801</v>
      </c>
      <c r="D59">
        <v>22.974188410307899</v>
      </c>
      <c r="E59">
        <v>31.7793960540934</v>
      </c>
      <c r="F59">
        <v>0.975721076605082</v>
      </c>
      <c r="G59">
        <v>70.350393785497999</v>
      </c>
      <c r="H59">
        <v>79.135430568883294</v>
      </c>
      <c r="I59" t="str">
        <f t="shared" si="1"/>
        <v>pcgame</v>
      </c>
      <c r="J59">
        <v>411</v>
      </c>
      <c r="K59">
        <f t="shared" si="0"/>
        <v>92</v>
      </c>
    </row>
    <row r="60" spans="1:11" x14ac:dyDescent="0.2">
      <c r="A60" t="s">
        <v>66</v>
      </c>
      <c r="B60">
        <v>508.6826171875</v>
      </c>
      <c r="C60">
        <v>11.9426137138096</v>
      </c>
      <c r="D60">
        <v>23.1487943156787</v>
      </c>
      <c r="E60">
        <v>31.948991094214001</v>
      </c>
      <c r="F60">
        <v>0.97729022016879796</v>
      </c>
      <c r="G60">
        <v>70.850889767004404</v>
      </c>
      <c r="H60">
        <v>80.003046088901797</v>
      </c>
      <c r="I60" t="str">
        <f t="shared" si="1"/>
        <v>pcgame</v>
      </c>
      <c r="J60">
        <v>411</v>
      </c>
      <c r="K60">
        <f t="shared" si="0"/>
        <v>93</v>
      </c>
    </row>
    <row r="61" spans="1:11" x14ac:dyDescent="0.2">
      <c r="A61" t="s">
        <v>67</v>
      </c>
      <c r="B61">
        <v>551.7314453125</v>
      </c>
      <c r="C61">
        <v>11.0107916661504</v>
      </c>
      <c r="D61">
        <v>23.2338460881797</v>
      </c>
      <c r="E61">
        <v>32.034298610625697</v>
      </c>
      <c r="F61">
        <v>0.97834171256132496</v>
      </c>
      <c r="G61">
        <v>71.097593844505397</v>
      </c>
      <c r="H61">
        <v>80.592464002316106</v>
      </c>
      <c r="I61" t="str">
        <f t="shared" si="1"/>
        <v>pcgame</v>
      </c>
      <c r="J61">
        <v>411</v>
      </c>
      <c r="K61">
        <f t="shared" si="0"/>
        <v>94</v>
      </c>
    </row>
    <row r="62" spans="1:11" x14ac:dyDescent="0.2">
      <c r="A62" t="s">
        <v>68</v>
      </c>
      <c r="B62">
        <v>601.625</v>
      </c>
      <c r="C62">
        <v>10.097652191980099</v>
      </c>
      <c r="D62">
        <v>23.177322061617701</v>
      </c>
      <c r="E62">
        <v>31.976797829449701</v>
      </c>
      <c r="F62">
        <v>0.97829574485083204</v>
      </c>
      <c r="G62">
        <v>70.931666817676302</v>
      </c>
      <c r="H62">
        <v>80.566560799797998</v>
      </c>
      <c r="I62" t="str">
        <f t="shared" si="1"/>
        <v>pcgame</v>
      </c>
      <c r="J62">
        <v>411</v>
      </c>
      <c r="K62">
        <f t="shared" si="0"/>
        <v>95</v>
      </c>
    </row>
    <row r="63" spans="1:11" x14ac:dyDescent="0.2">
      <c r="A63" t="s">
        <v>69</v>
      </c>
      <c r="B63">
        <v>652.5361328125</v>
      </c>
      <c r="C63">
        <v>9.3098292868719792</v>
      </c>
      <c r="D63">
        <v>23.306867301195901</v>
      </c>
      <c r="E63">
        <v>32.111334957563699</v>
      </c>
      <c r="F63">
        <v>0.97953726347096703</v>
      </c>
      <c r="G63">
        <v>71.3175994775346</v>
      </c>
      <c r="H63">
        <v>81.270564538281604</v>
      </c>
      <c r="I63" t="str">
        <f t="shared" si="1"/>
        <v>pcgame</v>
      </c>
      <c r="J63">
        <v>411</v>
      </c>
      <c r="K63">
        <f t="shared" si="0"/>
        <v>96</v>
      </c>
    </row>
    <row r="64" spans="1:11" x14ac:dyDescent="0.2">
      <c r="A64" t="s">
        <v>70</v>
      </c>
      <c r="B64">
        <v>715.4072265625</v>
      </c>
      <c r="C64">
        <v>8.4916670875552995</v>
      </c>
      <c r="D64">
        <v>23.4490228027745</v>
      </c>
      <c r="E64">
        <v>32.253625895580598</v>
      </c>
      <c r="F64">
        <v>0.98102085275495299</v>
      </c>
      <c r="G64">
        <v>71.717310339964996</v>
      </c>
      <c r="H64">
        <v>82.123927412373902</v>
      </c>
      <c r="I64" t="str">
        <f t="shared" si="1"/>
        <v>pcgame</v>
      </c>
      <c r="J64">
        <v>411</v>
      </c>
      <c r="K64">
        <f t="shared" si="0"/>
        <v>97</v>
      </c>
    </row>
    <row r="65" spans="1:11" x14ac:dyDescent="0.2">
      <c r="A65" t="s">
        <v>71</v>
      </c>
      <c r="B65">
        <v>795.865234375</v>
      </c>
      <c r="C65">
        <v>7.6332018759064804</v>
      </c>
      <c r="D65">
        <v>23.397725094597099</v>
      </c>
      <c r="E65">
        <v>32.2012887998076</v>
      </c>
      <c r="F65">
        <v>0.98077291778560105</v>
      </c>
      <c r="G65">
        <v>71.571270437236805</v>
      </c>
      <c r="H65">
        <v>81.980390325762798</v>
      </c>
      <c r="I65" t="str">
        <f t="shared" si="1"/>
        <v>pcgame</v>
      </c>
      <c r="J65">
        <v>411</v>
      </c>
      <c r="K65">
        <f t="shared" si="0"/>
        <v>98</v>
      </c>
    </row>
    <row r="66" spans="1:11" x14ac:dyDescent="0.2">
      <c r="A66" t="s">
        <v>72</v>
      </c>
      <c r="B66">
        <v>966.1240234375</v>
      </c>
      <c r="C66">
        <v>6.2880125663214104</v>
      </c>
      <c r="D66">
        <v>23.4098991609381</v>
      </c>
      <c r="E66">
        <v>32.213397787188597</v>
      </c>
      <c r="F66">
        <v>0.98085360230285001</v>
      </c>
      <c r="G66">
        <v>71.6051590409553</v>
      </c>
      <c r="H66">
        <v>82.027060130102399</v>
      </c>
      <c r="I66" t="str">
        <f t="shared" si="1"/>
        <v>pcgame</v>
      </c>
      <c r="J66">
        <v>411</v>
      </c>
      <c r="K66">
        <f t="shared" ref="K66:K129" si="2">(MID(A66,FIND("gimp",A66)+4,FIND(".",A66)-FIND("gimp",A66)-4))+0</f>
        <v>99</v>
      </c>
    </row>
    <row r="67" spans="1:11" x14ac:dyDescent="0.2">
      <c r="A67" t="s">
        <v>73</v>
      </c>
      <c r="B67">
        <v>1020.2099609375</v>
      </c>
      <c r="C67">
        <v>5.9546566222677404</v>
      </c>
      <c r="D67">
        <v>23.462376241053601</v>
      </c>
      <c r="E67">
        <v>32.266168187806102</v>
      </c>
      <c r="F67">
        <v>0.98210483794082104</v>
      </c>
      <c r="G67">
        <v>71.752142101005006</v>
      </c>
      <c r="H67">
        <v>82.755876404242599</v>
      </c>
      <c r="I67" t="str">
        <f t="shared" ref="I67:I130" si="3">LEFT(A67,FIND("/",A67)-1)</f>
        <v>pcgame</v>
      </c>
      <c r="J67">
        <v>411</v>
      </c>
      <c r="K67">
        <f t="shared" si="2"/>
        <v>100</v>
      </c>
    </row>
    <row r="68" spans="1:11" x14ac:dyDescent="0.2">
      <c r="A68" t="s">
        <v>74</v>
      </c>
      <c r="B68">
        <v>427.771484375</v>
      </c>
      <c r="C68">
        <v>14.201507631758</v>
      </c>
      <c r="D68">
        <v>27.178857190187902</v>
      </c>
      <c r="E68">
        <v>29.317699840781799</v>
      </c>
      <c r="F68">
        <v>0.97167998341762296</v>
      </c>
      <c r="G68">
        <v>61.082449125476003</v>
      </c>
      <c r="H68">
        <v>76.965473933789795</v>
      </c>
      <c r="I68" t="str">
        <f t="shared" si="3"/>
        <v>pc_desktop</v>
      </c>
      <c r="J68">
        <v>411</v>
      </c>
      <c r="K68">
        <f t="shared" si="2"/>
        <v>90</v>
      </c>
    </row>
    <row r="69" spans="1:11" x14ac:dyDescent="0.2">
      <c r="A69" t="s">
        <v>75</v>
      </c>
      <c r="B69">
        <v>445.365234375</v>
      </c>
      <c r="C69">
        <v>13.640489941980601</v>
      </c>
      <c r="D69">
        <v>27.3192695526396</v>
      </c>
      <c r="E69">
        <v>29.456857084863699</v>
      </c>
      <c r="F69">
        <v>0.97374101512810196</v>
      </c>
      <c r="G69">
        <v>61.722543375849099</v>
      </c>
      <c r="H69">
        <v>78.060736892117802</v>
      </c>
      <c r="I69" t="str">
        <f t="shared" si="3"/>
        <v>pc_desktop</v>
      </c>
      <c r="J69">
        <v>411</v>
      </c>
      <c r="K69">
        <f t="shared" si="2"/>
        <v>91</v>
      </c>
    </row>
    <row r="70" spans="1:11" x14ac:dyDescent="0.2">
      <c r="A70" t="s">
        <v>76</v>
      </c>
      <c r="B70">
        <v>463.9697265625</v>
      </c>
      <c r="C70">
        <v>13.0935266940992</v>
      </c>
      <c r="D70">
        <v>27.3012773828946</v>
      </c>
      <c r="E70">
        <v>29.4379750497306</v>
      </c>
      <c r="F70">
        <v>0.97427020447851398</v>
      </c>
      <c r="G70">
        <v>61.636529108283398</v>
      </c>
      <c r="H70">
        <v>78.345783292614698</v>
      </c>
      <c r="I70" t="str">
        <f t="shared" si="3"/>
        <v>pc_desktop</v>
      </c>
      <c r="J70">
        <v>411</v>
      </c>
      <c r="K70">
        <f t="shared" si="2"/>
        <v>92</v>
      </c>
    </row>
    <row r="71" spans="1:11" x14ac:dyDescent="0.2">
      <c r="A71" t="s">
        <v>77</v>
      </c>
      <c r="B71">
        <v>494.880859375</v>
      </c>
      <c r="C71">
        <v>12.2756818836604</v>
      </c>
      <c r="D71">
        <v>27.407931375870401</v>
      </c>
      <c r="E71">
        <v>29.5416368121017</v>
      </c>
      <c r="F71">
        <v>0.97659873482672699</v>
      </c>
      <c r="G71">
        <v>62.105463785197401</v>
      </c>
      <c r="H71">
        <v>79.618951879934698</v>
      </c>
      <c r="I71" t="str">
        <f t="shared" si="3"/>
        <v>pc_desktop</v>
      </c>
      <c r="J71">
        <v>411</v>
      </c>
      <c r="K71">
        <f t="shared" si="2"/>
        <v>93</v>
      </c>
    </row>
    <row r="72" spans="1:11" x14ac:dyDescent="0.2">
      <c r="A72" t="s">
        <v>78</v>
      </c>
      <c r="B72">
        <v>531.6396484375</v>
      </c>
      <c r="C72">
        <v>11.4269129811039</v>
      </c>
      <c r="D72">
        <v>27.455400662694199</v>
      </c>
      <c r="E72">
        <v>29.587819761382399</v>
      </c>
      <c r="F72">
        <v>0.97806513797359595</v>
      </c>
      <c r="G72">
        <v>62.311785684438298</v>
      </c>
      <c r="H72">
        <v>80.436799783925807</v>
      </c>
      <c r="I72" t="str">
        <f t="shared" si="3"/>
        <v>pc_desktop</v>
      </c>
      <c r="J72">
        <v>411</v>
      </c>
      <c r="K72">
        <f t="shared" si="2"/>
        <v>94</v>
      </c>
    </row>
    <row r="73" spans="1:11" x14ac:dyDescent="0.2">
      <c r="A73" t="s">
        <v>79</v>
      </c>
      <c r="B73">
        <v>580.0966796875</v>
      </c>
      <c r="C73">
        <v>10.4723922972161</v>
      </c>
      <c r="D73">
        <v>27.400846565444802</v>
      </c>
      <c r="E73">
        <v>29.532211048512799</v>
      </c>
      <c r="F73">
        <v>0.97881772618123197</v>
      </c>
      <c r="G73">
        <v>62.063157023141898</v>
      </c>
      <c r="H73">
        <v>80.861435993926094</v>
      </c>
      <c r="I73" t="str">
        <f t="shared" si="3"/>
        <v>pc_desktop</v>
      </c>
      <c r="J73">
        <v>411</v>
      </c>
      <c r="K73">
        <f t="shared" si="2"/>
        <v>95</v>
      </c>
    </row>
    <row r="74" spans="1:11" x14ac:dyDescent="0.2">
      <c r="A74" t="s">
        <v>80</v>
      </c>
      <c r="B74">
        <v>637.26171875</v>
      </c>
      <c r="C74">
        <v>9.5329749477439503</v>
      </c>
      <c r="D74">
        <v>27.471233919285901</v>
      </c>
      <c r="E74">
        <v>29.6027351307191</v>
      </c>
      <c r="F74">
        <v>0.98026486973221505</v>
      </c>
      <c r="G74">
        <v>62.378076320127299</v>
      </c>
      <c r="H74">
        <v>81.687427906299007</v>
      </c>
      <c r="I74" t="str">
        <f t="shared" si="3"/>
        <v>pc_desktop</v>
      </c>
      <c r="J74">
        <v>411</v>
      </c>
      <c r="K74">
        <f t="shared" si="2"/>
        <v>96</v>
      </c>
    </row>
    <row r="75" spans="1:11" x14ac:dyDescent="0.2">
      <c r="A75" t="s">
        <v>81</v>
      </c>
      <c r="B75">
        <v>697.158203125</v>
      </c>
      <c r="C75">
        <v>8.7139475269299194</v>
      </c>
      <c r="D75">
        <v>27.5667032372954</v>
      </c>
      <c r="E75">
        <v>29.696266223498199</v>
      </c>
      <c r="F75">
        <v>0.98250312262450601</v>
      </c>
      <c r="G75">
        <v>62.789931919103601</v>
      </c>
      <c r="H75">
        <v>82.989880192347997</v>
      </c>
      <c r="I75" t="str">
        <f t="shared" si="3"/>
        <v>pc_desktop</v>
      </c>
      <c r="J75">
        <v>411</v>
      </c>
      <c r="K75">
        <f t="shared" si="2"/>
        <v>97</v>
      </c>
    </row>
    <row r="76" spans="1:11" x14ac:dyDescent="0.2">
      <c r="A76" t="s">
        <v>82</v>
      </c>
      <c r="B76">
        <v>784.6181640625</v>
      </c>
      <c r="C76">
        <v>7.7426196311153497</v>
      </c>
      <c r="D76">
        <v>27.538622982077101</v>
      </c>
      <c r="E76">
        <v>29.6669138315034</v>
      </c>
      <c r="F76">
        <v>0.98272974321706696</v>
      </c>
      <c r="G76">
        <v>62.661395414410002</v>
      </c>
      <c r="H76">
        <v>83.123462971711007</v>
      </c>
      <c r="I76" t="str">
        <f t="shared" si="3"/>
        <v>pc_desktop</v>
      </c>
      <c r="J76">
        <v>411</v>
      </c>
      <c r="K76">
        <f t="shared" si="2"/>
        <v>98</v>
      </c>
    </row>
    <row r="77" spans="1:11" x14ac:dyDescent="0.2">
      <c r="A77" t="s">
        <v>83</v>
      </c>
      <c r="B77">
        <v>947.54296875</v>
      </c>
      <c r="C77">
        <v>6.4113187479129801</v>
      </c>
      <c r="D77">
        <v>27.550661477367399</v>
      </c>
      <c r="E77">
        <v>29.677073146778</v>
      </c>
      <c r="F77">
        <v>0.98310916488310096</v>
      </c>
      <c r="G77">
        <v>62.705957885028702</v>
      </c>
      <c r="H77">
        <v>83.347826688665705</v>
      </c>
      <c r="I77" t="str">
        <f t="shared" si="3"/>
        <v>pc_desktop</v>
      </c>
      <c r="J77">
        <v>411</v>
      </c>
      <c r="K77">
        <f t="shared" si="2"/>
        <v>99</v>
      </c>
    </row>
    <row r="78" spans="1:11" x14ac:dyDescent="0.2">
      <c r="A78" t="s">
        <v>84</v>
      </c>
      <c r="B78">
        <v>1012.380859375</v>
      </c>
      <c r="C78">
        <v>6.0007061016053198</v>
      </c>
      <c r="D78">
        <v>27.580867179646301</v>
      </c>
      <c r="E78">
        <v>29.7056990424595</v>
      </c>
      <c r="F78">
        <v>0.98507479089771699</v>
      </c>
      <c r="G78">
        <v>62.831100087773002</v>
      </c>
      <c r="H78">
        <v>84.524555840507901</v>
      </c>
      <c r="I78" t="str">
        <f t="shared" si="3"/>
        <v>pc_desktop</v>
      </c>
      <c r="J78">
        <v>411</v>
      </c>
      <c r="K78">
        <f t="shared" si="2"/>
        <v>100</v>
      </c>
    </row>
    <row r="79" spans="1:11" x14ac:dyDescent="0.2">
      <c r="A79" t="s">
        <v>85</v>
      </c>
      <c r="B79">
        <v>327.751953125</v>
      </c>
      <c r="C79">
        <v>18.5353586518006</v>
      </c>
      <c r="D79">
        <v>32.745162773490101</v>
      </c>
      <c r="E79">
        <v>38.111693974312601</v>
      </c>
      <c r="F79">
        <v>0.98089572027304095</v>
      </c>
      <c r="G79">
        <v>84.701500232059402</v>
      </c>
      <c r="H79">
        <v>82.051437819779693</v>
      </c>
      <c r="I79" t="str">
        <f t="shared" si="3"/>
        <v>shop</v>
      </c>
      <c r="J79">
        <v>411</v>
      </c>
      <c r="K79">
        <f t="shared" si="2"/>
        <v>90</v>
      </c>
    </row>
    <row r="80" spans="1:11" x14ac:dyDescent="0.2">
      <c r="A80" t="s">
        <v>86</v>
      </c>
      <c r="B80">
        <v>347.9453125</v>
      </c>
      <c r="C80">
        <v>17.459640299077201</v>
      </c>
      <c r="D80">
        <v>33.019707181529299</v>
      </c>
      <c r="E80">
        <v>38.3865907204693</v>
      </c>
      <c r="F80">
        <v>0.98198862001742904</v>
      </c>
      <c r="G80">
        <v>85.250363495346903</v>
      </c>
      <c r="H80">
        <v>82.687778873222399</v>
      </c>
      <c r="I80" t="str">
        <f t="shared" si="3"/>
        <v>shop</v>
      </c>
      <c r="J80">
        <v>411</v>
      </c>
      <c r="K80">
        <f t="shared" si="2"/>
        <v>91</v>
      </c>
    </row>
    <row r="81" spans="1:11" x14ac:dyDescent="0.2">
      <c r="A81" t="s">
        <v>87</v>
      </c>
      <c r="B81">
        <v>365.87890625</v>
      </c>
      <c r="C81">
        <v>16.603854161106099</v>
      </c>
      <c r="D81">
        <v>32.988229305537601</v>
      </c>
      <c r="E81">
        <v>38.354997640780397</v>
      </c>
      <c r="F81">
        <v>0.98185465518913995</v>
      </c>
      <c r="G81">
        <v>85.187348993881898</v>
      </c>
      <c r="H81">
        <v>82.609385419500995</v>
      </c>
      <c r="I81" t="str">
        <f t="shared" si="3"/>
        <v>shop</v>
      </c>
      <c r="J81">
        <v>411</v>
      </c>
      <c r="K81">
        <f t="shared" si="2"/>
        <v>92</v>
      </c>
    </row>
    <row r="82" spans="1:11" x14ac:dyDescent="0.2">
      <c r="A82" t="s">
        <v>88</v>
      </c>
      <c r="B82">
        <v>404.2177734375</v>
      </c>
      <c r="C82">
        <v>15.0290274184079</v>
      </c>
      <c r="D82">
        <v>33.286041625656601</v>
      </c>
      <c r="E82">
        <v>38.647146395540098</v>
      </c>
      <c r="F82">
        <v>0.98303080289078604</v>
      </c>
      <c r="G82">
        <v>85.769479394724002</v>
      </c>
      <c r="H82">
        <v>83.301415695496601</v>
      </c>
      <c r="I82" t="str">
        <f t="shared" si="3"/>
        <v>shop</v>
      </c>
      <c r="J82">
        <v>411</v>
      </c>
      <c r="K82">
        <f t="shared" si="2"/>
        <v>93</v>
      </c>
    </row>
    <row r="83" spans="1:11" x14ac:dyDescent="0.2">
      <c r="A83" t="s">
        <v>89</v>
      </c>
      <c r="B83">
        <v>446.8671875</v>
      </c>
      <c r="C83">
        <v>13.594643262994101</v>
      </c>
      <c r="D83">
        <v>33.446778055105497</v>
      </c>
      <c r="E83">
        <v>38.807739845897999</v>
      </c>
      <c r="F83">
        <v>0.98373294064427996</v>
      </c>
      <c r="G83">
        <v>86.088963172839797</v>
      </c>
      <c r="H83">
        <v>83.718629247865195</v>
      </c>
      <c r="I83" t="str">
        <f t="shared" si="3"/>
        <v>shop</v>
      </c>
      <c r="J83">
        <v>411</v>
      </c>
      <c r="K83">
        <f t="shared" si="2"/>
        <v>94</v>
      </c>
    </row>
    <row r="84" spans="1:11" x14ac:dyDescent="0.2">
      <c r="A84" t="s">
        <v>90</v>
      </c>
      <c r="B84">
        <v>507.8466796875</v>
      </c>
      <c r="C84">
        <v>11.9622717701693</v>
      </c>
      <c r="D84">
        <v>33.283747704942002</v>
      </c>
      <c r="E84">
        <v>38.644500455715402</v>
      </c>
      <c r="F84">
        <v>0.98336179889828901</v>
      </c>
      <c r="G84">
        <v>85.764212699871194</v>
      </c>
      <c r="H84">
        <v>83.497712548514301</v>
      </c>
      <c r="I84" t="str">
        <f t="shared" si="3"/>
        <v>shop</v>
      </c>
      <c r="J84">
        <v>411</v>
      </c>
      <c r="K84">
        <f t="shared" si="2"/>
        <v>95</v>
      </c>
    </row>
    <row r="85" spans="1:11" x14ac:dyDescent="0.2">
      <c r="A85" t="s">
        <v>91</v>
      </c>
      <c r="B85">
        <v>592.1171875</v>
      </c>
      <c r="C85">
        <v>10.259793379161099</v>
      </c>
      <c r="D85">
        <v>33.568281385795402</v>
      </c>
      <c r="E85">
        <v>38.934874022312997</v>
      </c>
      <c r="F85">
        <v>0.98461418882897001</v>
      </c>
      <c r="G85">
        <v>86.341652590369705</v>
      </c>
      <c r="H85">
        <v>84.246635483492099</v>
      </c>
      <c r="I85" t="str">
        <f t="shared" si="3"/>
        <v>shop</v>
      </c>
      <c r="J85">
        <v>411</v>
      </c>
      <c r="K85">
        <f t="shared" si="2"/>
        <v>96</v>
      </c>
    </row>
    <row r="86" spans="1:11" x14ac:dyDescent="0.2">
      <c r="A86" t="s">
        <v>92</v>
      </c>
      <c r="B86">
        <v>680.0478515625</v>
      </c>
      <c r="C86">
        <v>8.9331949009792204</v>
      </c>
      <c r="D86">
        <v>34.001784095816298</v>
      </c>
      <c r="E86">
        <v>39.368653796595801</v>
      </c>
      <c r="F86">
        <v>0.98651658441792001</v>
      </c>
      <c r="G86">
        <v>87.202483641220198</v>
      </c>
      <c r="H86">
        <v>85.403240156318603</v>
      </c>
      <c r="I86" t="str">
        <f t="shared" si="3"/>
        <v>shop</v>
      </c>
      <c r="J86">
        <v>411</v>
      </c>
      <c r="K86">
        <f t="shared" si="2"/>
        <v>97</v>
      </c>
    </row>
    <row r="87" spans="1:11" x14ac:dyDescent="0.2">
      <c r="A87" t="s">
        <v>93</v>
      </c>
      <c r="B87">
        <v>839.84765625</v>
      </c>
      <c r="C87">
        <v>7.2334547281175396</v>
      </c>
      <c r="D87">
        <v>33.902451905549903</v>
      </c>
      <c r="E87">
        <v>39.269087179953303</v>
      </c>
      <c r="F87">
        <v>0.98618793871338695</v>
      </c>
      <c r="G87">
        <v>87.005062789983398</v>
      </c>
      <c r="H87">
        <v>85.201780249356304</v>
      </c>
      <c r="I87" t="str">
        <f t="shared" si="3"/>
        <v>shop</v>
      </c>
      <c r="J87">
        <v>411</v>
      </c>
      <c r="K87">
        <f t="shared" si="2"/>
        <v>98</v>
      </c>
    </row>
    <row r="88" spans="1:11" x14ac:dyDescent="0.2">
      <c r="A88" t="s">
        <v>94</v>
      </c>
      <c r="B88">
        <v>1130.8427734375</v>
      </c>
      <c r="C88">
        <v>5.3720995904084896</v>
      </c>
      <c r="D88">
        <v>33.7143158483928</v>
      </c>
      <c r="E88">
        <v>39.080507867569303</v>
      </c>
      <c r="F88">
        <v>0.98333445400207897</v>
      </c>
      <c r="G88">
        <v>86.630880791534196</v>
      </c>
      <c r="H88">
        <v>83.4814698661514</v>
      </c>
      <c r="I88" t="str">
        <f t="shared" si="3"/>
        <v>shop</v>
      </c>
      <c r="J88">
        <v>411</v>
      </c>
      <c r="K88">
        <f t="shared" si="2"/>
        <v>99</v>
      </c>
    </row>
    <row r="89" spans="1:11" x14ac:dyDescent="0.2">
      <c r="A89" t="s">
        <v>95</v>
      </c>
      <c r="B89">
        <v>1232.5654296875</v>
      </c>
      <c r="C89">
        <v>4.9287444330969397</v>
      </c>
      <c r="D89">
        <v>34.355031732180898</v>
      </c>
      <c r="E89">
        <v>39.722011271973599</v>
      </c>
      <c r="F89">
        <v>0.98863381138519502</v>
      </c>
      <c r="G89">
        <v>87.902425134908</v>
      </c>
      <c r="H89">
        <v>86.717881869157097</v>
      </c>
      <c r="I89" t="str">
        <f t="shared" si="3"/>
        <v>shop</v>
      </c>
      <c r="J89">
        <v>411</v>
      </c>
      <c r="K89">
        <f t="shared" si="2"/>
        <v>100</v>
      </c>
    </row>
    <row r="90" spans="1:11" x14ac:dyDescent="0.2">
      <c r="A90" t="s">
        <v>96</v>
      </c>
      <c r="B90">
        <v>502.6025390625</v>
      </c>
      <c r="C90">
        <v>12.087085774241499</v>
      </c>
      <c r="D90">
        <v>30.761622819865199</v>
      </c>
      <c r="E90">
        <v>37.110139533423002</v>
      </c>
      <c r="F90">
        <v>0.96839586019123902</v>
      </c>
      <c r="G90">
        <v>82.688014496322097</v>
      </c>
      <c r="H90">
        <v>75.268230823724707</v>
      </c>
      <c r="I90" t="str">
        <f t="shared" si="3"/>
        <v>street</v>
      </c>
      <c r="J90">
        <v>411</v>
      </c>
      <c r="K90">
        <f t="shared" si="2"/>
        <v>90</v>
      </c>
    </row>
    <row r="91" spans="1:11" x14ac:dyDescent="0.2">
      <c r="A91" t="s">
        <v>97</v>
      </c>
      <c r="B91">
        <v>531.107421875</v>
      </c>
      <c r="C91">
        <v>11.438363972683799</v>
      </c>
      <c r="D91">
        <v>31.070483858632699</v>
      </c>
      <c r="E91">
        <v>37.418991222114897</v>
      </c>
      <c r="F91">
        <v>0.97042658734985199</v>
      </c>
      <c r="G91">
        <v>83.311665424708494</v>
      </c>
      <c r="H91">
        <v>76.310840552280794</v>
      </c>
      <c r="I91" t="str">
        <f t="shared" si="3"/>
        <v>street</v>
      </c>
      <c r="J91">
        <v>411</v>
      </c>
      <c r="K91">
        <f t="shared" si="2"/>
        <v>91</v>
      </c>
    </row>
    <row r="92" spans="1:11" x14ac:dyDescent="0.2">
      <c r="A92" t="s">
        <v>98</v>
      </c>
      <c r="B92">
        <v>559.53515625</v>
      </c>
      <c r="C92">
        <v>10.8572266320397</v>
      </c>
      <c r="D92">
        <v>31.176558466222801</v>
      </c>
      <c r="E92">
        <v>37.5250498420979</v>
      </c>
      <c r="F92">
        <v>0.97120264415403601</v>
      </c>
      <c r="G92">
        <v>83.5251977486963</v>
      </c>
      <c r="H92">
        <v>76.715154709625295</v>
      </c>
      <c r="I92" t="str">
        <f t="shared" si="3"/>
        <v>street</v>
      </c>
      <c r="J92">
        <v>411</v>
      </c>
      <c r="K92">
        <f t="shared" si="2"/>
        <v>92</v>
      </c>
    </row>
    <row r="93" spans="1:11" x14ac:dyDescent="0.2">
      <c r="A93" t="s">
        <v>99</v>
      </c>
      <c r="B93">
        <v>609.1953125</v>
      </c>
      <c r="C93">
        <v>9.9721712812752497</v>
      </c>
      <c r="D93">
        <v>31.553844072626202</v>
      </c>
      <c r="E93">
        <v>37.895592131466302</v>
      </c>
      <c r="F93">
        <v>0.97346947744106604</v>
      </c>
      <c r="G93">
        <v>84.269052364545402</v>
      </c>
      <c r="H93">
        <v>77.915084872746505</v>
      </c>
      <c r="I93" t="str">
        <f t="shared" si="3"/>
        <v>street</v>
      </c>
      <c r="J93">
        <v>411</v>
      </c>
      <c r="K93">
        <f t="shared" si="2"/>
        <v>93</v>
      </c>
    </row>
    <row r="94" spans="1:11" x14ac:dyDescent="0.2">
      <c r="A94" t="s">
        <v>100</v>
      </c>
      <c r="B94">
        <v>669.365234375</v>
      </c>
      <c r="C94">
        <v>9.0757626599360997</v>
      </c>
      <c r="D94">
        <v>31.866972741997099</v>
      </c>
      <c r="E94">
        <v>38.208855459099901</v>
      </c>
      <c r="F94">
        <v>0.975379046399657</v>
      </c>
      <c r="G94">
        <v>84.8956439247915</v>
      </c>
      <c r="H94">
        <v>78.948197425087798</v>
      </c>
      <c r="I94" t="str">
        <f t="shared" si="3"/>
        <v>street</v>
      </c>
      <c r="J94">
        <v>411</v>
      </c>
      <c r="K94">
        <f t="shared" si="2"/>
        <v>94</v>
      </c>
    </row>
    <row r="95" spans="1:11" x14ac:dyDescent="0.2">
      <c r="A95" t="s">
        <v>101</v>
      </c>
      <c r="B95">
        <v>746.40625</v>
      </c>
      <c r="C95">
        <v>8.1389993719907903</v>
      </c>
      <c r="D95">
        <v>31.8704575547929</v>
      </c>
      <c r="E95">
        <v>38.212113179625597</v>
      </c>
      <c r="F95">
        <v>0.97576548410033104</v>
      </c>
      <c r="G95">
        <v>84.902150429332906</v>
      </c>
      <c r="H95">
        <v>79.159789154579997</v>
      </c>
      <c r="I95" t="str">
        <f t="shared" si="3"/>
        <v>street</v>
      </c>
      <c r="J95">
        <v>411</v>
      </c>
      <c r="K95">
        <f t="shared" si="2"/>
        <v>95</v>
      </c>
    </row>
    <row r="96" spans="1:11" x14ac:dyDescent="0.2">
      <c r="A96" t="s">
        <v>102</v>
      </c>
      <c r="B96">
        <v>850.0908203125</v>
      </c>
      <c r="C96">
        <v>7.1462952602720504</v>
      </c>
      <c r="D96">
        <v>32.282576741841901</v>
      </c>
      <c r="E96">
        <v>38.631041145328297</v>
      </c>
      <c r="F96">
        <v>0.97828066701891403</v>
      </c>
      <c r="G96">
        <v>85.737420696730695</v>
      </c>
      <c r="H96">
        <v>80.558067025617206</v>
      </c>
      <c r="I96" t="str">
        <f t="shared" si="3"/>
        <v>street</v>
      </c>
      <c r="J96">
        <v>411</v>
      </c>
      <c r="K96">
        <f t="shared" si="2"/>
        <v>96</v>
      </c>
    </row>
    <row r="97" spans="1:11" x14ac:dyDescent="0.2">
      <c r="A97" t="s">
        <v>103</v>
      </c>
      <c r="B97">
        <v>952.44140625</v>
      </c>
      <c r="C97">
        <v>6.3783451245770504</v>
      </c>
      <c r="D97">
        <v>32.847854808326296</v>
      </c>
      <c r="E97">
        <v>39.196597122328903</v>
      </c>
      <c r="F97">
        <v>0.98155904581111397</v>
      </c>
      <c r="G97">
        <v>86.861269534968201</v>
      </c>
      <c r="H97">
        <v>82.436789726500095</v>
      </c>
      <c r="I97" t="str">
        <f t="shared" si="3"/>
        <v>street</v>
      </c>
      <c r="J97">
        <v>411</v>
      </c>
      <c r="K97">
        <f t="shared" si="2"/>
        <v>97</v>
      </c>
    </row>
    <row r="98" spans="1:11" x14ac:dyDescent="0.2">
      <c r="A98" t="s">
        <v>104</v>
      </c>
      <c r="B98">
        <v>1130.8544921875</v>
      </c>
      <c r="C98">
        <v>5.3720439207423203</v>
      </c>
      <c r="D98">
        <v>32.737161817432302</v>
      </c>
      <c r="E98">
        <v>39.085559008487103</v>
      </c>
      <c r="F98">
        <v>0.98111000058303799</v>
      </c>
      <c r="G98">
        <v>86.640908141073893</v>
      </c>
      <c r="H98">
        <v>82.175628991380805</v>
      </c>
      <c r="I98" t="str">
        <f t="shared" si="3"/>
        <v>street</v>
      </c>
      <c r="J98">
        <v>411</v>
      </c>
      <c r="K98">
        <f t="shared" si="2"/>
        <v>98</v>
      </c>
    </row>
    <row r="99" spans="1:11" x14ac:dyDescent="0.2">
      <c r="A99" t="s">
        <v>105</v>
      </c>
      <c r="B99">
        <v>1432.099609375</v>
      </c>
      <c r="C99">
        <v>4.2420233622235699</v>
      </c>
      <c r="D99">
        <v>32.7083698754913</v>
      </c>
      <c r="E99">
        <v>39.056566447001103</v>
      </c>
      <c r="F99">
        <v>0.97916355920588904</v>
      </c>
      <c r="G99">
        <v>86.583349376784199</v>
      </c>
      <c r="H99">
        <v>81.057691760444399</v>
      </c>
      <c r="I99" t="str">
        <f t="shared" si="3"/>
        <v>street</v>
      </c>
      <c r="J99">
        <v>411</v>
      </c>
      <c r="K99">
        <f t="shared" si="2"/>
        <v>99</v>
      </c>
    </row>
    <row r="100" spans="1:11" x14ac:dyDescent="0.2">
      <c r="A100" t="s">
        <v>106</v>
      </c>
      <c r="B100">
        <v>1562.380859375</v>
      </c>
      <c r="C100">
        <v>3.8882964826067998</v>
      </c>
      <c r="D100">
        <v>33.437960517419199</v>
      </c>
      <c r="E100">
        <v>39.7869476967943</v>
      </c>
      <c r="F100">
        <v>0.98548182373697601</v>
      </c>
      <c r="G100">
        <v>88.030946091130602</v>
      </c>
      <c r="H100">
        <v>84.771272941923399</v>
      </c>
      <c r="I100" t="str">
        <f t="shared" si="3"/>
        <v>street</v>
      </c>
      <c r="J100">
        <v>411</v>
      </c>
      <c r="K100">
        <f t="shared" si="2"/>
        <v>100</v>
      </c>
    </row>
    <row r="101" spans="1:11" x14ac:dyDescent="0.2">
      <c r="A101" t="s">
        <v>107</v>
      </c>
      <c r="B101">
        <v>274.326171875</v>
      </c>
      <c r="C101">
        <v>22.145171051226399</v>
      </c>
      <c r="D101">
        <v>36.544211601495299</v>
      </c>
      <c r="E101">
        <v>41.211372952513699</v>
      </c>
      <c r="F101">
        <v>0.98289626210984404</v>
      </c>
      <c r="G101">
        <v>90.844136902030101</v>
      </c>
      <c r="H101">
        <v>83.221820872743606</v>
      </c>
      <c r="I101" t="str">
        <f t="shared" si="3"/>
        <v>wedding</v>
      </c>
      <c r="J101">
        <v>411</v>
      </c>
      <c r="K101">
        <f t="shared" si="2"/>
        <v>90</v>
      </c>
    </row>
    <row r="102" spans="1:11" x14ac:dyDescent="0.2">
      <c r="A102" t="s">
        <v>108</v>
      </c>
      <c r="B102">
        <v>294.46875</v>
      </c>
      <c r="C102">
        <v>20.630372492836699</v>
      </c>
      <c r="D102">
        <v>36.787040470523998</v>
      </c>
      <c r="E102">
        <v>41.454435752136703</v>
      </c>
      <c r="F102">
        <v>0.98385506948889501</v>
      </c>
      <c r="G102">
        <v>91.323347729542405</v>
      </c>
      <c r="H102">
        <v>83.791512797492302</v>
      </c>
      <c r="I102" t="str">
        <f t="shared" si="3"/>
        <v>wedding</v>
      </c>
      <c r="J102">
        <v>411</v>
      </c>
      <c r="K102">
        <f t="shared" si="2"/>
        <v>91</v>
      </c>
    </row>
    <row r="103" spans="1:11" x14ac:dyDescent="0.2">
      <c r="A103" t="s">
        <v>109</v>
      </c>
      <c r="B103">
        <v>311.5947265625</v>
      </c>
      <c r="C103">
        <v>19.496478862203901</v>
      </c>
      <c r="D103">
        <v>36.874212055127998</v>
      </c>
      <c r="E103">
        <v>41.541637165403003</v>
      </c>
      <c r="F103">
        <v>0.98440839027592397</v>
      </c>
      <c r="G103">
        <v>91.495228434758801</v>
      </c>
      <c r="H103">
        <v>84.122892865802896</v>
      </c>
      <c r="I103" t="str">
        <f t="shared" si="3"/>
        <v>wedding</v>
      </c>
      <c r="J103">
        <v>411</v>
      </c>
      <c r="K103">
        <f t="shared" si="2"/>
        <v>92</v>
      </c>
    </row>
    <row r="104" spans="1:11" x14ac:dyDescent="0.2">
      <c r="A104" t="s">
        <v>110</v>
      </c>
      <c r="B104">
        <v>348.4609375</v>
      </c>
      <c r="C104">
        <v>17.433804901015598</v>
      </c>
      <c r="D104">
        <v>37.247158446212701</v>
      </c>
      <c r="E104">
        <v>41.9090879445166</v>
      </c>
      <c r="F104">
        <v>0.98549889858704498</v>
      </c>
      <c r="G104">
        <v>92.219291821733904</v>
      </c>
      <c r="H104">
        <v>84.781645646989304</v>
      </c>
      <c r="I104" t="str">
        <f t="shared" si="3"/>
        <v>wedding</v>
      </c>
      <c r="J104">
        <v>411</v>
      </c>
      <c r="K104">
        <f t="shared" si="2"/>
        <v>93</v>
      </c>
    </row>
    <row r="105" spans="1:11" x14ac:dyDescent="0.2">
      <c r="A105" t="s">
        <v>111</v>
      </c>
      <c r="B105">
        <v>390.083984375</v>
      </c>
      <c r="C105">
        <v>15.5735693936101</v>
      </c>
      <c r="D105">
        <v>37.511819641311597</v>
      </c>
      <c r="E105">
        <v>42.173774239771298</v>
      </c>
      <c r="F105">
        <v>0.98645479144701997</v>
      </c>
      <c r="G105">
        <v>92.740673260604396</v>
      </c>
      <c r="H105">
        <v>85.365308025262706</v>
      </c>
      <c r="I105" t="str">
        <f t="shared" si="3"/>
        <v>wedding</v>
      </c>
      <c r="J105">
        <v>411</v>
      </c>
      <c r="K105">
        <f t="shared" si="2"/>
        <v>94</v>
      </c>
    </row>
    <row r="106" spans="1:11" x14ac:dyDescent="0.2">
      <c r="A106" t="s">
        <v>112</v>
      </c>
      <c r="B106">
        <v>445.0751953125</v>
      </c>
      <c r="C106">
        <v>13.649378945359</v>
      </c>
      <c r="D106">
        <v>37.539922003030398</v>
      </c>
      <c r="E106">
        <v>42.202094894877099</v>
      </c>
      <c r="F106">
        <v>0.98681246147371304</v>
      </c>
      <c r="G106">
        <v>92.796451502894499</v>
      </c>
      <c r="H106">
        <v>85.5852078004405</v>
      </c>
      <c r="I106" t="str">
        <f t="shared" si="3"/>
        <v>wedding</v>
      </c>
      <c r="J106">
        <v>411</v>
      </c>
      <c r="K106">
        <f t="shared" si="2"/>
        <v>95</v>
      </c>
    </row>
    <row r="107" spans="1:11" x14ac:dyDescent="0.2">
      <c r="A107" t="s">
        <v>113</v>
      </c>
      <c r="B107">
        <v>523.2177734375</v>
      </c>
      <c r="C107">
        <v>11.610844104334801</v>
      </c>
      <c r="D107">
        <v>37.870751224635598</v>
      </c>
      <c r="E107">
        <v>42.538628951926199</v>
      </c>
      <c r="F107">
        <v>0.98820815779353899</v>
      </c>
      <c r="G107">
        <v>93.459158197327099</v>
      </c>
      <c r="H107">
        <v>86.451232378042505</v>
      </c>
      <c r="I107" t="str">
        <f t="shared" si="3"/>
        <v>wedding</v>
      </c>
      <c r="J107">
        <v>411</v>
      </c>
      <c r="K107">
        <f t="shared" si="2"/>
        <v>96</v>
      </c>
    </row>
    <row r="108" spans="1:11" x14ac:dyDescent="0.2">
      <c r="A108" t="s">
        <v>114</v>
      </c>
      <c r="B108">
        <v>603.1826171875</v>
      </c>
      <c r="C108">
        <v>10.071576711421701</v>
      </c>
      <c r="D108">
        <v>38.415465400260601</v>
      </c>
      <c r="E108">
        <v>43.083587891966701</v>
      </c>
      <c r="F108">
        <v>0.98987233695005805</v>
      </c>
      <c r="G108">
        <v>94.531948464504197</v>
      </c>
      <c r="H108">
        <v>87.500560207620097</v>
      </c>
      <c r="I108" t="str">
        <f t="shared" si="3"/>
        <v>wedding</v>
      </c>
      <c r="J108">
        <v>411</v>
      </c>
      <c r="K108">
        <f t="shared" si="2"/>
        <v>97</v>
      </c>
    </row>
    <row r="109" spans="1:11" x14ac:dyDescent="0.2">
      <c r="A109" t="s">
        <v>115</v>
      </c>
      <c r="B109">
        <v>749.5771484375</v>
      </c>
      <c r="C109">
        <v>8.1045693730970694</v>
      </c>
      <c r="D109">
        <v>38.376770405846202</v>
      </c>
      <c r="E109">
        <v>43.044657485810902</v>
      </c>
      <c r="F109">
        <v>0.98981783287251801</v>
      </c>
      <c r="G109">
        <v>94.455323369590104</v>
      </c>
      <c r="H109">
        <v>87.465902343939206</v>
      </c>
      <c r="I109" t="str">
        <f t="shared" si="3"/>
        <v>wedding</v>
      </c>
      <c r="J109">
        <v>411</v>
      </c>
      <c r="K109">
        <f t="shared" si="2"/>
        <v>98</v>
      </c>
    </row>
    <row r="110" spans="1:11" x14ac:dyDescent="0.2">
      <c r="A110" t="s">
        <v>116</v>
      </c>
      <c r="B110">
        <v>1029.322265625</v>
      </c>
      <c r="C110">
        <v>5.9019416978328803</v>
      </c>
      <c r="D110">
        <v>37.711644071050301</v>
      </c>
      <c r="E110">
        <v>42.378038658305002</v>
      </c>
      <c r="F110">
        <v>0.98499764431194003</v>
      </c>
      <c r="G110">
        <v>93.142945330718604</v>
      </c>
      <c r="H110">
        <v>84.477913128175501</v>
      </c>
      <c r="I110" t="str">
        <f t="shared" si="3"/>
        <v>wedding</v>
      </c>
      <c r="J110">
        <v>411</v>
      </c>
      <c r="K110">
        <f t="shared" si="2"/>
        <v>99</v>
      </c>
    </row>
    <row r="111" spans="1:11" x14ac:dyDescent="0.2">
      <c r="A111" t="s">
        <v>117</v>
      </c>
      <c r="B111">
        <v>1117.966796875</v>
      </c>
      <c r="C111">
        <v>5.4339717574628903</v>
      </c>
      <c r="D111">
        <v>39.113637014049203</v>
      </c>
      <c r="E111">
        <v>43.781385522352998</v>
      </c>
      <c r="F111">
        <v>0.99161916083506496</v>
      </c>
      <c r="G111">
        <v>95.905143134369595</v>
      </c>
      <c r="H111">
        <v>88.621887290160203</v>
      </c>
      <c r="I111" t="str">
        <f t="shared" si="3"/>
        <v>wedding</v>
      </c>
      <c r="J111">
        <v>411</v>
      </c>
      <c r="K111">
        <f t="shared" si="2"/>
        <v>100</v>
      </c>
    </row>
    <row r="112" spans="1:11" x14ac:dyDescent="0.2">
      <c r="A112" t="s">
        <v>8</v>
      </c>
      <c r="B112">
        <v>540.2490234375</v>
      </c>
      <c r="C112">
        <v>11.2448144030802</v>
      </c>
      <c r="D112">
        <v>29.9064928769392</v>
      </c>
      <c r="E112">
        <v>37.4791412194297</v>
      </c>
      <c r="F112">
        <v>0.98205713503436598</v>
      </c>
      <c r="G112">
        <v>83.432804663451904</v>
      </c>
      <c r="H112">
        <v>82.727915000363097</v>
      </c>
      <c r="I112" t="str">
        <f t="shared" si="3"/>
        <v>bar</v>
      </c>
      <c r="J112">
        <v>422</v>
      </c>
      <c r="K112">
        <f t="shared" si="2"/>
        <v>90</v>
      </c>
    </row>
    <row r="113" spans="1:11" x14ac:dyDescent="0.2">
      <c r="A113" t="s">
        <v>9</v>
      </c>
      <c r="B113">
        <v>581.18359375</v>
      </c>
      <c r="C113">
        <v>10.452807108339</v>
      </c>
      <c r="D113">
        <v>30.1491437853322</v>
      </c>
      <c r="E113">
        <v>37.7216521985859</v>
      </c>
      <c r="F113">
        <v>0.98303671885926702</v>
      </c>
      <c r="G113">
        <v>83.920269628946599</v>
      </c>
      <c r="H113">
        <v>83.304918181047199</v>
      </c>
      <c r="I113" t="str">
        <f t="shared" si="3"/>
        <v>bar</v>
      </c>
      <c r="J113">
        <v>422</v>
      </c>
      <c r="K113">
        <f t="shared" si="2"/>
        <v>91</v>
      </c>
    </row>
    <row r="114" spans="1:11" x14ac:dyDescent="0.2">
      <c r="A114" t="s">
        <v>10</v>
      </c>
      <c r="B114">
        <v>619.771484375</v>
      </c>
      <c r="C114">
        <v>9.8019998550373</v>
      </c>
      <c r="D114">
        <v>30.4102020316259</v>
      </c>
      <c r="E114">
        <v>37.9824381930909</v>
      </c>
      <c r="F114">
        <v>0.98385491121994095</v>
      </c>
      <c r="G114">
        <v>84.442953821249503</v>
      </c>
      <c r="H114">
        <v>83.791418286003605</v>
      </c>
      <c r="I114" t="str">
        <f t="shared" si="3"/>
        <v>bar</v>
      </c>
      <c r="J114">
        <v>422</v>
      </c>
      <c r="K114">
        <f t="shared" si="2"/>
        <v>92</v>
      </c>
    </row>
    <row r="115" spans="1:11" x14ac:dyDescent="0.2">
      <c r="A115" t="s">
        <v>11</v>
      </c>
      <c r="B115">
        <v>681.3896484375</v>
      </c>
      <c r="C115">
        <v>8.9156035961665001</v>
      </c>
      <c r="D115">
        <v>30.7922585767279</v>
      </c>
      <c r="E115">
        <v>38.357237169161301</v>
      </c>
      <c r="F115">
        <v>0.98510927016928695</v>
      </c>
      <c r="G115">
        <v>85.191816410803</v>
      </c>
      <c r="H115">
        <v>84.545414159653504</v>
      </c>
      <c r="I115" t="str">
        <f t="shared" si="3"/>
        <v>bar</v>
      </c>
      <c r="J115">
        <v>422</v>
      </c>
      <c r="K115">
        <f t="shared" si="2"/>
        <v>93</v>
      </c>
    </row>
    <row r="116" spans="1:11" x14ac:dyDescent="0.2">
      <c r="A116" t="s">
        <v>12</v>
      </c>
      <c r="B116">
        <v>759.9296875</v>
      </c>
      <c r="C116">
        <v>7.99416064397405</v>
      </c>
      <c r="D116">
        <v>31.235010074918399</v>
      </c>
      <c r="E116">
        <v>38.8000120051232</v>
      </c>
      <c r="F116">
        <v>0.98658981885716801</v>
      </c>
      <c r="G116">
        <v>86.073597084612203</v>
      </c>
      <c r="H116">
        <v>85.448227570932701</v>
      </c>
      <c r="I116" t="str">
        <f t="shared" si="3"/>
        <v>bar</v>
      </c>
      <c r="J116">
        <v>422</v>
      </c>
      <c r="K116">
        <f t="shared" si="2"/>
        <v>94</v>
      </c>
    </row>
    <row r="117" spans="1:11" x14ac:dyDescent="0.2">
      <c r="A117" t="s">
        <v>13</v>
      </c>
      <c r="B117">
        <v>855.2880859375</v>
      </c>
      <c r="C117">
        <v>7.1028698983232799</v>
      </c>
      <c r="D117">
        <v>31.730230386107301</v>
      </c>
      <c r="E117">
        <v>39.2949070700354</v>
      </c>
      <c r="F117">
        <v>0.98797760445854799</v>
      </c>
      <c r="G117">
        <v>87.056267478284099</v>
      </c>
      <c r="H117">
        <v>86.3072992327441</v>
      </c>
      <c r="I117" t="str">
        <f t="shared" si="3"/>
        <v>bar</v>
      </c>
      <c r="J117">
        <v>422</v>
      </c>
      <c r="K117">
        <f t="shared" si="2"/>
        <v>95</v>
      </c>
    </row>
    <row r="118" spans="1:11" x14ac:dyDescent="0.2">
      <c r="A118" t="s">
        <v>14</v>
      </c>
      <c r="B118">
        <v>982.2314453125</v>
      </c>
      <c r="C118">
        <v>6.1848966748027703</v>
      </c>
      <c r="D118">
        <v>32.398692679833601</v>
      </c>
      <c r="E118">
        <v>39.970365334703899</v>
      </c>
      <c r="F118">
        <v>0.99007015250326502</v>
      </c>
      <c r="G118">
        <v>88.393802650837898</v>
      </c>
      <c r="H118">
        <v>87.626513110754303</v>
      </c>
      <c r="I118" t="str">
        <f t="shared" si="3"/>
        <v>bar</v>
      </c>
      <c r="J118">
        <v>422</v>
      </c>
      <c r="K118">
        <f t="shared" si="2"/>
        <v>96</v>
      </c>
    </row>
    <row r="119" spans="1:11" x14ac:dyDescent="0.2">
      <c r="A119" t="s">
        <v>15</v>
      </c>
      <c r="B119">
        <v>1093.7802734375</v>
      </c>
      <c r="C119">
        <v>5.5541319838468803</v>
      </c>
      <c r="D119">
        <v>33.173004660174797</v>
      </c>
      <c r="E119">
        <v>40.744769961064002</v>
      </c>
      <c r="F119">
        <v>0.99224242521627604</v>
      </c>
      <c r="G119">
        <v>89.923650297916197</v>
      </c>
      <c r="H119">
        <v>89.026976647730393</v>
      </c>
      <c r="I119" t="str">
        <f t="shared" si="3"/>
        <v>bar</v>
      </c>
      <c r="J119">
        <v>422</v>
      </c>
      <c r="K119">
        <f t="shared" si="2"/>
        <v>97</v>
      </c>
    </row>
    <row r="120" spans="1:11" x14ac:dyDescent="0.2">
      <c r="A120" t="s">
        <v>16</v>
      </c>
      <c r="B120">
        <v>1283.0498046875</v>
      </c>
      <c r="C120">
        <v>4.7348123025353903</v>
      </c>
      <c r="D120">
        <v>33.8353887378805</v>
      </c>
      <c r="E120">
        <v>41.407337121278303</v>
      </c>
      <c r="F120">
        <v>0.99375228445764796</v>
      </c>
      <c r="G120">
        <v>91.230503949308599</v>
      </c>
      <c r="H120">
        <v>90.019361026175403</v>
      </c>
      <c r="I120" t="str">
        <f t="shared" si="3"/>
        <v>bar</v>
      </c>
      <c r="J120">
        <v>422</v>
      </c>
      <c r="K120">
        <f t="shared" si="2"/>
        <v>98</v>
      </c>
    </row>
    <row r="121" spans="1:11" x14ac:dyDescent="0.2">
      <c r="A121" t="s">
        <v>17</v>
      </c>
      <c r="B121">
        <v>1705.7265625</v>
      </c>
      <c r="C121">
        <v>3.5615321550109198</v>
      </c>
      <c r="D121">
        <v>33.988968763051602</v>
      </c>
      <c r="E121">
        <v>41.5613954601411</v>
      </c>
      <c r="F121">
        <v>0.99338494339836803</v>
      </c>
      <c r="G121">
        <v>91.534170717264303</v>
      </c>
      <c r="H121">
        <v>89.776469461382206</v>
      </c>
      <c r="I121" t="str">
        <f t="shared" si="3"/>
        <v>bar</v>
      </c>
      <c r="J121">
        <v>422</v>
      </c>
      <c r="K121">
        <f t="shared" si="2"/>
        <v>99</v>
      </c>
    </row>
    <row r="122" spans="1:11" x14ac:dyDescent="0.2">
      <c r="A122" t="s">
        <v>18</v>
      </c>
      <c r="B122">
        <v>1876.16015625</v>
      </c>
      <c r="C122">
        <v>3.2379964896720201</v>
      </c>
      <c r="D122">
        <v>34.933986253891497</v>
      </c>
      <c r="E122">
        <v>42.506881816343402</v>
      </c>
      <c r="F122">
        <v>0.99579875651215999</v>
      </c>
      <c r="G122">
        <v>93.396649187009899</v>
      </c>
      <c r="H122">
        <v>91.389795268042704</v>
      </c>
      <c r="I122" t="str">
        <f t="shared" si="3"/>
        <v>bar</v>
      </c>
      <c r="J122">
        <v>422</v>
      </c>
      <c r="K122">
        <f t="shared" si="2"/>
        <v>100</v>
      </c>
    </row>
    <row r="123" spans="1:11" x14ac:dyDescent="0.2">
      <c r="A123" t="s">
        <v>19</v>
      </c>
      <c r="B123">
        <v>615.4326171875</v>
      </c>
      <c r="C123">
        <v>9.8711050248888093</v>
      </c>
      <c r="D123">
        <v>32.190454739319499</v>
      </c>
      <c r="E123">
        <v>37.522880885840699</v>
      </c>
      <c r="F123">
        <v>0.97864228163559497</v>
      </c>
      <c r="G123">
        <v>83.520833866877993</v>
      </c>
      <c r="H123">
        <v>80.762144857046195</v>
      </c>
      <c r="I123" t="str">
        <f t="shared" si="3"/>
        <v>building</v>
      </c>
      <c r="J123">
        <v>422</v>
      </c>
      <c r="K123">
        <f t="shared" si="2"/>
        <v>90</v>
      </c>
    </row>
    <row r="124" spans="1:11" x14ac:dyDescent="0.2">
      <c r="A124" t="s">
        <v>20</v>
      </c>
      <c r="B124">
        <v>646.9052734375</v>
      </c>
      <c r="C124">
        <v>9.3908648598872908</v>
      </c>
      <c r="D124">
        <v>32.533568973226899</v>
      </c>
      <c r="E124">
        <v>37.8660473060839</v>
      </c>
      <c r="F124">
        <v>0.98006457052820595</v>
      </c>
      <c r="G124">
        <v>84.209855831784594</v>
      </c>
      <c r="H124">
        <v>81.572354548612296</v>
      </c>
      <c r="I124" t="str">
        <f t="shared" si="3"/>
        <v>building</v>
      </c>
      <c r="J124">
        <v>422</v>
      </c>
      <c r="K124">
        <f t="shared" si="2"/>
        <v>91</v>
      </c>
    </row>
    <row r="125" spans="1:11" x14ac:dyDescent="0.2">
      <c r="A125" t="s">
        <v>21</v>
      </c>
      <c r="B125">
        <v>681.376953125</v>
      </c>
      <c r="C125">
        <v>8.9157697103464102</v>
      </c>
      <c r="D125">
        <v>32.928156792956599</v>
      </c>
      <c r="E125">
        <v>38.260765846208002</v>
      </c>
      <c r="F125">
        <v>0.98109270620990296</v>
      </c>
      <c r="G125">
        <v>84.999300339753404</v>
      </c>
      <c r="H125">
        <v>82.165595286847704</v>
      </c>
      <c r="I125" t="str">
        <f t="shared" si="3"/>
        <v>building</v>
      </c>
      <c r="J125">
        <v>422</v>
      </c>
      <c r="K125">
        <f t="shared" si="2"/>
        <v>92</v>
      </c>
    </row>
    <row r="126" spans="1:11" x14ac:dyDescent="0.2">
      <c r="A126" t="s">
        <v>22</v>
      </c>
      <c r="B126">
        <v>738.7138671875</v>
      </c>
      <c r="C126">
        <v>8.2237524836636702</v>
      </c>
      <c r="D126">
        <v>33.4177597562757</v>
      </c>
      <c r="E126">
        <v>38.744998026611398</v>
      </c>
      <c r="F126">
        <v>0.98268522004950498</v>
      </c>
      <c r="G126">
        <v>85.964185030879406</v>
      </c>
      <c r="H126">
        <v>83.097193492723605</v>
      </c>
      <c r="I126" t="str">
        <f t="shared" si="3"/>
        <v>building</v>
      </c>
      <c r="J126">
        <v>422</v>
      </c>
      <c r="K126">
        <f t="shared" si="2"/>
        <v>93</v>
      </c>
    </row>
    <row r="127" spans="1:11" x14ac:dyDescent="0.2">
      <c r="A127" t="s">
        <v>23</v>
      </c>
      <c r="B127">
        <v>807.923828125</v>
      </c>
      <c r="C127">
        <v>7.5192732142813998</v>
      </c>
      <c r="D127">
        <v>33.9367104913362</v>
      </c>
      <c r="E127">
        <v>39.264206116420503</v>
      </c>
      <c r="F127">
        <v>0.984252213881188</v>
      </c>
      <c r="G127">
        <v>86.995382194112395</v>
      </c>
      <c r="H127">
        <v>84.029165093545103</v>
      </c>
      <c r="I127" t="str">
        <f t="shared" si="3"/>
        <v>building</v>
      </c>
      <c r="J127">
        <v>422</v>
      </c>
      <c r="K127">
        <f t="shared" si="2"/>
        <v>94</v>
      </c>
    </row>
    <row r="128" spans="1:11" x14ac:dyDescent="0.2">
      <c r="A128" t="s">
        <v>24</v>
      </c>
      <c r="B128">
        <v>901.236328125</v>
      </c>
      <c r="C128">
        <v>6.74074025914922</v>
      </c>
      <c r="D128">
        <v>34.4877728718428</v>
      </c>
      <c r="E128">
        <v>39.815307969742399</v>
      </c>
      <c r="F128">
        <v>0.98542737994002205</v>
      </c>
      <c r="G128">
        <v>88.0870666340724</v>
      </c>
      <c r="H128">
        <v>84.738211583288404</v>
      </c>
      <c r="I128" t="str">
        <f t="shared" si="3"/>
        <v>building</v>
      </c>
      <c r="J128">
        <v>422</v>
      </c>
      <c r="K128">
        <f t="shared" si="2"/>
        <v>95</v>
      </c>
    </row>
    <row r="129" spans="1:11" x14ac:dyDescent="0.2">
      <c r="A129" t="s">
        <v>25</v>
      </c>
      <c r="B129">
        <v>1020.859375</v>
      </c>
      <c r="C129">
        <v>5.9508686002908098</v>
      </c>
      <c r="D129">
        <v>35.111889526377901</v>
      </c>
      <c r="E129">
        <v>40.445201791871703</v>
      </c>
      <c r="F129">
        <v>0.98723295143888701</v>
      </c>
      <c r="G129">
        <v>89.332214244718003</v>
      </c>
      <c r="H129">
        <v>85.844787187988203</v>
      </c>
      <c r="I129" t="str">
        <f t="shared" si="3"/>
        <v>building</v>
      </c>
      <c r="J129">
        <v>422</v>
      </c>
      <c r="K129">
        <f t="shared" si="2"/>
        <v>96</v>
      </c>
    </row>
    <row r="130" spans="1:11" x14ac:dyDescent="0.2">
      <c r="A130" t="s">
        <v>26</v>
      </c>
      <c r="B130">
        <v>1133.89453125</v>
      </c>
      <c r="C130">
        <v>5.3576411496605001</v>
      </c>
      <c r="D130">
        <v>35.795001662692002</v>
      </c>
      <c r="E130">
        <v>41.128394658403799</v>
      </c>
      <c r="F130">
        <v>0.98908196221408695</v>
      </c>
      <c r="G130">
        <v>90.680498890396507</v>
      </c>
      <c r="H130">
        <v>86.999914436828206</v>
      </c>
      <c r="I130" t="str">
        <f t="shared" si="3"/>
        <v>building</v>
      </c>
      <c r="J130">
        <v>422</v>
      </c>
      <c r="K130">
        <f t="shared" ref="K130:K193" si="4">(MID(A130,FIND("gimp",A130)+4,FIND(".",A130)-FIND("gimp",A130)-4))+0</f>
        <v>97</v>
      </c>
    </row>
    <row r="131" spans="1:11" x14ac:dyDescent="0.2">
      <c r="A131" t="s">
        <v>27</v>
      </c>
      <c r="B131">
        <v>1347.9541015625</v>
      </c>
      <c r="C131">
        <v>4.5068300122074501</v>
      </c>
      <c r="D131">
        <v>36.313885877958498</v>
      </c>
      <c r="E131">
        <v>41.647506295132203</v>
      </c>
      <c r="F131">
        <v>0.98960842997761</v>
      </c>
      <c r="G131">
        <v>91.703877629326001</v>
      </c>
      <c r="H131">
        <v>87.332932154349507</v>
      </c>
      <c r="I131" t="str">
        <f t="shared" ref="I131:I194" si="5">LEFT(A131,FIND("/",A131)-1)</f>
        <v>building</v>
      </c>
      <c r="J131">
        <v>422</v>
      </c>
      <c r="K131">
        <f t="shared" si="4"/>
        <v>98</v>
      </c>
    </row>
    <row r="132" spans="1:11" x14ac:dyDescent="0.2">
      <c r="A132" t="s">
        <v>28</v>
      </c>
      <c r="B132">
        <v>1781.2900390625</v>
      </c>
      <c r="C132">
        <v>3.4104496554627901</v>
      </c>
      <c r="D132">
        <v>36.494972990256002</v>
      </c>
      <c r="E132">
        <v>41.828342673178902</v>
      </c>
      <c r="F132">
        <v>0.98842479012351803</v>
      </c>
      <c r="G132">
        <v>92.060210053927094</v>
      </c>
      <c r="H132">
        <v>86.586792301450302</v>
      </c>
      <c r="I132" t="str">
        <f t="shared" si="5"/>
        <v>building</v>
      </c>
      <c r="J132">
        <v>422</v>
      </c>
      <c r="K132">
        <f t="shared" si="4"/>
        <v>99</v>
      </c>
    </row>
    <row r="133" spans="1:11" x14ac:dyDescent="0.2">
      <c r="A133" t="s">
        <v>29</v>
      </c>
      <c r="B133">
        <v>1965.42578125</v>
      </c>
      <c r="C133">
        <v>3.0909333020636001</v>
      </c>
      <c r="D133">
        <v>37.500523551954402</v>
      </c>
      <c r="E133">
        <v>42.8344724047383</v>
      </c>
      <c r="F133">
        <v>0.992448259560051</v>
      </c>
      <c r="G133">
        <v>94.041594329860203</v>
      </c>
      <c r="H133">
        <v>89.161341304687795</v>
      </c>
      <c r="I133" t="str">
        <f t="shared" si="5"/>
        <v>building</v>
      </c>
      <c r="J133">
        <v>422</v>
      </c>
      <c r="K133">
        <f t="shared" si="4"/>
        <v>100</v>
      </c>
    </row>
    <row r="134" spans="1:11" x14ac:dyDescent="0.2">
      <c r="A134" t="s">
        <v>30</v>
      </c>
      <c r="B134">
        <v>255.1103515625</v>
      </c>
      <c r="C134">
        <v>23.813224209805</v>
      </c>
      <c r="D134">
        <v>31.041972998381802</v>
      </c>
      <c r="E134">
        <v>41.537677852036602</v>
      </c>
      <c r="F134">
        <v>0.98913551045036596</v>
      </c>
      <c r="G134">
        <v>91.487424767745097</v>
      </c>
      <c r="H134">
        <v>87.033702458829794</v>
      </c>
      <c r="I134" t="str">
        <f t="shared" si="5"/>
        <v>character</v>
      </c>
      <c r="J134">
        <v>422</v>
      </c>
      <c r="K134">
        <f t="shared" si="4"/>
        <v>90</v>
      </c>
    </row>
    <row r="135" spans="1:11" x14ac:dyDescent="0.2">
      <c r="A135" t="s">
        <v>31</v>
      </c>
      <c r="B135">
        <v>279.611328125</v>
      </c>
      <c r="C135">
        <v>21.726587548284801</v>
      </c>
      <c r="D135">
        <v>31.217713467693098</v>
      </c>
      <c r="E135">
        <v>41.713516021799997</v>
      </c>
      <c r="F135">
        <v>0.98942475008384601</v>
      </c>
      <c r="G135">
        <v>91.833956763942197</v>
      </c>
      <c r="H135">
        <v>87.216536264734302</v>
      </c>
      <c r="I135" t="str">
        <f t="shared" si="5"/>
        <v>character</v>
      </c>
      <c r="J135">
        <v>422</v>
      </c>
      <c r="K135">
        <f t="shared" si="4"/>
        <v>91</v>
      </c>
    </row>
    <row r="136" spans="1:11" x14ac:dyDescent="0.2">
      <c r="A136" t="s">
        <v>32</v>
      </c>
      <c r="B136">
        <v>298.6708984375</v>
      </c>
      <c r="C136">
        <v>20.340113589175999</v>
      </c>
      <c r="D136">
        <v>31.3652083256897</v>
      </c>
      <c r="E136">
        <v>41.8608455703882</v>
      </c>
      <c r="F136">
        <v>0.98956156199272505</v>
      </c>
      <c r="G136">
        <v>92.1242479582275</v>
      </c>
      <c r="H136">
        <v>87.303211118678703</v>
      </c>
      <c r="I136" t="str">
        <f t="shared" si="5"/>
        <v>character</v>
      </c>
      <c r="J136">
        <v>422</v>
      </c>
      <c r="K136">
        <f t="shared" si="4"/>
        <v>92</v>
      </c>
    </row>
    <row r="137" spans="1:11" x14ac:dyDescent="0.2">
      <c r="A137" t="s">
        <v>33</v>
      </c>
      <c r="B137">
        <v>339.6396484375</v>
      </c>
      <c r="C137">
        <v>17.886604311209901</v>
      </c>
      <c r="D137">
        <v>31.6313369164479</v>
      </c>
      <c r="E137">
        <v>42.1183066237624</v>
      </c>
      <c r="F137">
        <v>0.98997094953226294</v>
      </c>
      <c r="G137">
        <v>92.631424072343805</v>
      </c>
      <c r="H137">
        <v>87.563316025869</v>
      </c>
      <c r="I137" t="str">
        <f t="shared" si="5"/>
        <v>character</v>
      </c>
      <c r="J137">
        <v>422</v>
      </c>
      <c r="K137">
        <f t="shared" si="4"/>
        <v>93</v>
      </c>
    </row>
    <row r="138" spans="1:11" x14ac:dyDescent="0.2">
      <c r="A138" t="s">
        <v>34</v>
      </c>
      <c r="B138">
        <v>387.642578125</v>
      </c>
      <c r="C138">
        <v>15.6716530711986</v>
      </c>
      <c r="D138">
        <v>31.916313005334999</v>
      </c>
      <c r="E138">
        <v>42.403420403575502</v>
      </c>
      <c r="F138">
        <v>0.99031127921641404</v>
      </c>
      <c r="G138">
        <v>93.192926389349793</v>
      </c>
      <c r="H138">
        <v>87.7803970182499</v>
      </c>
      <c r="I138" t="str">
        <f t="shared" si="5"/>
        <v>character</v>
      </c>
      <c r="J138">
        <v>422</v>
      </c>
      <c r="K138">
        <f t="shared" si="4"/>
        <v>94</v>
      </c>
    </row>
    <row r="139" spans="1:11" x14ac:dyDescent="0.2">
      <c r="A139" t="s">
        <v>35</v>
      </c>
      <c r="B139">
        <v>453.806640625</v>
      </c>
      <c r="C139">
        <v>13.386758712109801</v>
      </c>
      <c r="D139">
        <v>32.191364529643899</v>
      </c>
      <c r="E139">
        <v>42.678559541686603</v>
      </c>
      <c r="F139">
        <v>0.99050521998471197</v>
      </c>
      <c r="G139">
        <v>93.734658979601093</v>
      </c>
      <c r="H139">
        <v>87.904450294227004</v>
      </c>
      <c r="I139" t="str">
        <f t="shared" si="5"/>
        <v>character</v>
      </c>
      <c r="J139">
        <v>422</v>
      </c>
      <c r="K139">
        <f t="shared" si="4"/>
        <v>95</v>
      </c>
    </row>
    <row r="140" spans="1:11" x14ac:dyDescent="0.2">
      <c r="A140" t="s">
        <v>36</v>
      </c>
      <c r="B140">
        <v>556.865234375</v>
      </c>
      <c r="C140">
        <v>10.909282219455299</v>
      </c>
      <c r="D140">
        <v>32.699262969316798</v>
      </c>
      <c r="E140">
        <v>43.194542302191302</v>
      </c>
      <c r="F140">
        <v>0.99130375469256105</v>
      </c>
      <c r="G140">
        <v>94.750326355533602</v>
      </c>
      <c r="H140">
        <v>88.417897190090599</v>
      </c>
      <c r="I140" t="str">
        <f t="shared" si="5"/>
        <v>character</v>
      </c>
      <c r="J140">
        <v>422</v>
      </c>
      <c r="K140">
        <f t="shared" si="4"/>
        <v>96</v>
      </c>
    </row>
    <row r="141" spans="1:11" x14ac:dyDescent="0.2">
      <c r="A141" t="s">
        <v>37</v>
      </c>
      <c r="B141">
        <v>650.7255859375</v>
      </c>
      <c r="C141">
        <v>9.3357324981278396</v>
      </c>
      <c r="D141">
        <v>33.399995863782699</v>
      </c>
      <c r="E141">
        <v>43.894969062813601</v>
      </c>
      <c r="F141">
        <v>0.99241649281951705</v>
      </c>
      <c r="G141">
        <v>96.1286256082969</v>
      </c>
      <c r="H141">
        <v>89.1405856489109</v>
      </c>
      <c r="I141" t="str">
        <f t="shared" si="5"/>
        <v>character</v>
      </c>
      <c r="J141">
        <v>422</v>
      </c>
      <c r="K141">
        <f t="shared" si="4"/>
        <v>97</v>
      </c>
    </row>
    <row r="142" spans="1:11" x14ac:dyDescent="0.2">
      <c r="A142" t="s">
        <v>38</v>
      </c>
      <c r="B142">
        <v>824.626953125</v>
      </c>
      <c r="C142">
        <v>7.3669675445099498</v>
      </c>
      <c r="D142">
        <v>33.992194266226797</v>
      </c>
      <c r="E142">
        <v>44.487540324039799</v>
      </c>
      <c r="F142">
        <v>0.99319011826721604</v>
      </c>
      <c r="G142">
        <v>97.294412091422302</v>
      </c>
      <c r="H142">
        <v>89.648027610888903</v>
      </c>
      <c r="I142" t="str">
        <f t="shared" si="5"/>
        <v>character</v>
      </c>
      <c r="J142">
        <v>422</v>
      </c>
      <c r="K142">
        <f t="shared" si="4"/>
        <v>98</v>
      </c>
    </row>
    <row r="143" spans="1:11" x14ac:dyDescent="0.2">
      <c r="A143" t="s">
        <v>39</v>
      </c>
      <c r="B143">
        <v>1234.283203125</v>
      </c>
      <c r="C143">
        <v>4.9218850136006997</v>
      </c>
      <c r="D143">
        <v>33.736978245238497</v>
      </c>
      <c r="E143">
        <v>44.232638759914998</v>
      </c>
      <c r="F143">
        <v>0.99187987565706104</v>
      </c>
      <c r="G143">
        <v>96.792960316694405</v>
      </c>
      <c r="H143">
        <v>88.791016037664804</v>
      </c>
      <c r="I143" t="str">
        <f t="shared" si="5"/>
        <v>character</v>
      </c>
      <c r="J143">
        <v>422</v>
      </c>
      <c r="K143">
        <f t="shared" si="4"/>
        <v>99</v>
      </c>
    </row>
    <row r="144" spans="1:11" x14ac:dyDescent="0.2">
      <c r="A144" t="s">
        <v>40</v>
      </c>
      <c r="B144">
        <v>1361.9267578125</v>
      </c>
      <c r="C144">
        <v>4.4605922933458997</v>
      </c>
      <c r="D144">
        <v>35.521341070669202</v>
      </c>
      <c r="E144">
        <v>46.017796906078097</v>
      </c>
      <c r="F144">
        <v>0.995212711062751</v>
      </c>
      <c r="G144">
        <v>100.30424475269</v>
      </c>
      <c r="H144">
        <v>90.994333445406696</v>
      </c>
      <c r="I144" t="str">
        <f t="shared" si="5"/>
        <v>character</v>
      </c>
      <c r="J144">
        <v>422</v>
      </c>
      <c r="K144">
        <f t="shared" si="4"/>
        <v>100</v>
      </c>
    </row>
    <row r="145" spans="1:11" x14ac:dyDescent="0.2">
      <c r="A145" t="s">
        <v>41</v>
      </c>
      <c r="B145">
        <v>431.9296875</v>
      </c>
      <c r="C145">
        <v>14.064789190949</v>
      </c>
      <c r="D145">
        <v>30.284166803222501</v>
      </c>
      <c r="E145">
        <v>37.224376432414502</v>
      </c>
      <c r="F145">
        <v>0.98661718386016795</v>
      </c>
      <c r="G145">
        <v>82.919023206774597</v>
      </c>
      <c r="H145">
        <v>85.465046574714705</v>
      </c>
      <c r="I145" t="str">
        <f t="shared" si="5"/>
        <v>earth</v>
      </c>
      <c r="J145">
        <v>422</v>
      </c>
      <c r="K145">
        <f t="shared" si="4"/>
        <v>90</v>
      </c>
    </row>
    <row r="146" spans="1:11" x14ac:dyDescent="0.2">
      <c r="A146" t="s">
        <v>42</v>
      </c>
      <c r="B146">
        <v>457.34375</v>
      </c>
      <c r="C146">
        <v>13.2832251451999</v>
      </c>
      <c r="D146">
        <v>30.534865298857401</v>
      </c>
      <c r="E146">
        <v>37.474999738194398</v>
      </c>
      <c r="F146">
        <v>0.98731407670082405</v>
      </c>
      <c r="G146">
        <v>83.424467028112701</v>
      </c>
      <c r="H146">
        <v>85.894999798567397</v>
      </c>
      <c r="I146" t="str">
        <f t="shared" si="5"/>
        <v>earth</v>
      </c>
      <c r="J146">
        <v>422</v>
      </c>
      <c r="K146">
        <f t="shared" si="4"/>
        <v>91</v>
      </c>
    </row>
    <row r="147" spans="1:11" x14ac:dyDescent="0.2">
      <c r="A147" t="s">
        <v>43</v>
      </c>
      <c r="B147">
        <v>486.4169921875</v>
      </c>
      <c r="C147">
        <v>12.489284086642799</v>
      </c>
      <c r="D147">
        <v>30.822973547921201</v>
      </c>
      <c r="E147">
        <v>37.762640239252299</v>
      </c>
      <c r="F147">
        <v>0.98794945966438497</v>
      </c>
      <c r="G147">
        <v>84.002518997524703</v>
      </c>
      <c r="H147">
        <v>86.289752425680504</v>
      </c>
      <c r="I147" t="str">
        <f t="shared" si="5"/>
        <v>earth</v>
      </c>
      <c r="J147">
        <v>422</v>
      </c>
      <c r="K147">
        <f t="shared" si="4"/>
        <v>92</v>
      </c>
    </row>
    <row r="148" spans="1:11" x14ac:dyDescent="0.2">
      <c r="A148" t="s">
        <v>44</v>
      </c>
      <c r="B148">
        <v>530.1708984375</v>
      </c>
      <c r="C148">
        <v>11.458569336612101</v>
      </c>
      <c r="D148">
        <v>31.192323155072501</v>
      </c>
      <c r="E148">
        <v>38.127436283836197</v>
      </c>
      <c r="F148">
        <v>0.98885329420503898</v>
      </c>
      <c r="G148">
        <v>84.732967450488104</v>
      </c>
      <c r="H148">
        <v>86.855842240800698</v>
      </c>
      <c r="I148" t="str">
        <f t="shared" si="5"/>
        <v>earth</v>
      </c>
      <c r="J148">
        <v>422</v>
      </c>
      <c r="K148">
        <f t="shared" si="4"/>
        <v>93</v>
      </c>
    </row>
    <row r="149" spans="1:11" x14ac:dyDescent="0.2">
      <c r="A149" t="s">
        <v>45</v>
      </c>
      <c r="B149">
        <v>585.69921875</v>
      </c>
      <c r="C149">
        <v>10.3722180353344</v>
      </c>
      <c r="D149">
        <v>31.578588549936899</v>
      </c>
      <c r="E149">
        <v>38.513610414119498</v>
      </c>
      <c r="F149">
        <v>0.98972150908439405</v>
      </c>
      <c r="G149">
        <v>85.503555459945105</v>
      </c>
      <c r="H149">
        <v>87.404700751432998</v>
      </c>
      <c r="I149" t="str">
        <f t="shared" si="5"/>
        <v>earth</v>
      </c>
      <c r="J149">
        <v>422</v>
      </c>
      <c r="K149">
        <f t="shared" si="4"/>
        <v>94</v>
      </c>
    </row>
    <row r="150" spans="1:11" x14ac:dyDescent="0.2">
      <c r="A150" t="s">
        <v>46</v>
      </c>
      <c r="B150">
        <v>665.9140625</v>
      </c>
      <c r="C150">
        <v>9.12279878456539</v>
      </c>
      <c r="D150">
        <v>31.9928045593064</v>
      </c>
      <c r="E150">
        <v>38.927129664504697</v>
      </c>
      <c r="F150">
        <v>0.99050634552386296</v>
      </c>
      <c r="G150">
        <v>86.326265583060106</v>
      </c>
      <c r="H150">
        <v>87.905170976959198</v>
      </c>
      <c r="I150" t="str">
        <f t="shared" si="5"/>
        <v>earth</v>
      </c>
      <c r="J150">
        <v>422</v>
      </c>
      <c r="K150">
        <f t="shared" si="4"/>
        <v>95</v>
      </c>
    </row>
    <row r="151" spans="1:11" x14ac:dyDescent="0.2">
      <c r="A151" t="s">
        <v>47</v>
      </c>
      <c r="B151">
        <v>763.66796875</v>
      </c>
      <c r="C151">
        <v>7.9550279029560302</v>
      </c>
      <c r="D151">
        <v>32.461387540844598</v>
      </c>
      <c r="E151">
        <v>39.399797967254301</v>
      </c>
      <c r="F151">
        <v>0.99153190853363604</v>
      </c>
      <c r="G151">
        <v>87.264217556928003</v>
      </c>
      <c r="H151">
        <v>88.565388968066401</v>
      </c>
      <c r="I151" t="str">
        <f t="shared" si="5"/>
        <v>earth</v>
      </c>
      <c r="J151">
        <v>422</v>
      </c>
      <c r="K151">
        <f t="shared" si="4"/>
        <v>96</v>
      </c>
    </row>
    <row r="152" spans="1:11" x14ac:dyDescent="0.2">
      <c r="A152" t="s">
        <v>48</v>
      </c>
      <c r="B152">
        <v>852.517578125</v>
      </c>
      <c r="C152">
        <v>7.1259527731512096</v>
      </c>
      <c r="D152">
        <v>32.990692773291698</v>
      </c>
      <c r="E152">
        <v>39.9287403243463</v>
      </c>
      <c r="F152">
        <v>0.992668061699433</v>
      </c>
      <c r="G152">
        <v>88.311475520547106</v>
      </c>
      <c r="H152">
        <v>89.305144690606497</v>
      </c>
      <c r="I152" t="str">
        <f t="shared" si="5"/>
        <v>earth</v>
      </c>
      <c r="J152">
        <v>422</v>
      </c>
      <c r="K152">
        <f t="shared" si="4"/>
        <v>97</v>
      </c>
    </row>
    <row r="153" spans="1:11" x14ac:dyDescent="0.2">
      <c r="A153" t="s">
        <v>49</v>
      </c>
      <c r="B153">
        <v>1049.322265625</v>
      </c>
      <c r="C153">
        <v>5.7894511524365599</v>
      </c>
      <c r="D153">
        <v>33.400581478103398</v>
      </c>
      <c r="E153">
        <v>40.338264608962703</v>
      </c>
      <c r="F153">
        <v>0.99325387902427698</v>
      </c>
      <c r="G153">
        <v>89.120984858065498</v>
      </c>
      <c r="H153">
        <v>89.690034089690002</v>
      </c>
      <c r="I153" t="str">
        <f t="shared" si="5"/>
        <v>earth</v>
      </c>
      <c r="J153">
        <v>422</v>
      </c>
      <c r="K153">
        <f t="shared" si="4"/>
        <v>98</v>
      </c>
    </row>
    <row r="154" spans="1:11" x14ac:dyDescent="0.2">
      <c r="A154" t="s">
        <v>50</v>
      </c>
      <c r="B154">
        <v>1404.33984375</v>
      </c>
      <c r="C154">
        <v>4.3258759815415901</v>
      </c>
      <c r="D154">
        <v>33.7174740382073</v>
      </c>
      <c r="E154">
        <v>40.655025190262798</v>
      </c>
      <c r="F154">
        <v>0.99363878227775804</v>
      </c>
      <c r="G154">
        <v>89.7465099336695</v>
      </c>
      <c r="H154">
        <v>89.944211641866801</v>
      </c>
      <c r="I154" t="str">
        <f t="shared" si="5"/>
        <v>earth</v>
      </c>
      <c r="J154">
        <v>422</v>
      </c>
      <c r="K154">
        <f t="shared" si="4"/>
        <v>99</v>
      </c>
    </row>
    <row r="155" spans="1:11" x14ac:dyDescent="0.2">
      <c r="A155" t="s">
        <v>51</v>
      </c>
      <c r="B155">
        <v>1572.9150390625</v>
      </c>
      <c r="C155">
        <v>3.8622556521685101</v>
      </c>
      <c r="D155">
        <v>34.340535238989403</v>
      </c>
      <c r="E155">
        <v>41.277223185493</v>
      </c>
      <c r="F155">
        <v>0.99518850170481599</v>
      </c>
      <c r="G155">
        <v>90.973981646859897</v>
      </c>
      <c r="H155">
        <v>90.978049300252195</v>
      </c>
      <c r="I155" t="str">
        <f t="shared" si="5"/>
        <v>earth</v>
      </c>
      <c r="J155">
        <v>422</v>
      </c>
      <c r="K155">
        <f t="shared" si="4"/>
        <v>100</v>
      </c>
    </row>
    <row r="156" spans="1:11" x14ac:dyDescent="0.2">
      <c r="A156" t="s">
        <v>52</v>
      </c>
      <c r="B156">
        <v>250.478515625</v>
      </c>
      <c r="C156">
        <v>24.253577137510199</v>
      </c>
      <c r="D156">
        <v>36.598936668552597</v>
      </c>
      <c r="E156">
        <v>42.5316215813559</v>
      </c>
      <c r="F156">
        <v>0.98690542083516297</v>
      </c>
      <c r="G156">
        <v>93.445361058722298</v>
      </c>
      <c r="H156">
        <v>85.6424955032805</v>
      </c>
      <c r="I156" t="str">
        <f t="shared" si="5"/>
        <v>flower</v>
      </c>
      <c r="J156">
        <v>422</v>
      </c>
      <c r="K156">
        <f t="shared" si="4"/>
        <v>90</v>
      </c>
    </row>
    <row r="157" spans="1:11" x14ac:dyDescent="0.2">
      <c r="A157" t="s">
        <v>53</v>
      </c>
      <c r="B157">
        <v>276.6865234375</v>
      </c>
      <c r="C157">
        <v>21.956255492769799</v>
      </c>
      <c r="D157">
        <v>36.736240614627803</v>
      </c>
      <c r="E157">
        <v>42.668854154778501</v>
      </c>
      <c r="F157">
        <v>0.987295717430271</v>
      </c>
      <c r="G157">
        <v>93.715551539839197</v>
      </c>
      <c r="H157">
        <v>85.883632557886102</v>
      </c>
      <c r="I157" t="str">
        <f t="shared" si="5"/>
        <v>flower</v>
      </c>
      <c r="J157">
        <v>422</v>
      </c>
      <c r="K157">
        <f t="shared" si="4"/>
        <v>91</v>
      </c>
    </row>
    <row r="158" spans="1:11" x14ac:dyDescent="0.2">
      <c r="A158" t="s">
        <v>54</v>
      </c>
      <c r="B158">
        <v>292.58984375</v>
      </c>
      <c r="C158">
        <v>20.7628532902554</v>
      </c>
      <c r="D158">
        <v>36.785633219717397</v>
      </c>
      <c r="E158">
        <v>42.718229791089399</v>
      </c>
      <c r="F158">
        <v>0.98738959078062205</v>
      </c>
      <c r="G158">
        <v>93.812758264189796</v>
      </c>
      <c r="H158">
        <v>85.941777770403604</v>
      </c>
      <c r="I158" t="str">
        <f t="shared" si="5"/>
        <v>flower</v>
      </c>
      <c r="J158">
        <v>422</v>
      </c>
      <c r="K158">
        <f t="shared" si="4"/>
        <v>92</v>
      </c>
    </row>
    <row r="159" spans="1:11" x14ac:dyDescent="0.2">
      <c r="A159" t="s">
        <v>55</v>
      </c>
      <c r="B159">
        <v>337.0205078125</v>
      </c>
      <c r="C159">
        <v>18.0256093002501</v>
      </c>
      <c r="D159">
        <v>37.009131932743202</v>
      </c>
      <c r="E159">
        <v>42.934860197010799</v>
      </c>
      <c r="F159">
        <v>0.98782778932303195</v>
      </c>
      <c r="G159">
        <v>94.239204612212205</v>
      </c>
      <c r="H159">
        <v>86.213956907577796</v>
      </c>
      <c r="I159" t="str">
        <f t="shared" si="5"/>
        <v>flower</v>
      </c>
      <c r="J159">
        <v>422</v>
      </c>
      <c r="K159">
        <f t="shared" si="4"/>
        <v>93</v>
      </c>
    </row>
    <row r="160" spans="1:11" x14ac:dyDescent="0.2">
      <c r="A160" t="s">
        <v>56</v>
      </c>
      <c r="B160">
        <v>394.0009765625</v>
      </c>
      <c r="C160">
        <v>15.418743509221599</v>
      </c>
      <c r="D160">
        <v>37.198915052005397</v>
      </c>
      <c r="E160">
        <v>43.124585438517002</v>
      </c>
      <c r="F160">
        <v>0.98828549265920695</v>
      </c>
      <c r="G160">
        <v>94.612640419330702</v>
      </c>
      <c r="H160">
        <v>86.499590116984095</v>
      </c>
      <c r="I160" t="str">
        <f t="shared" si="5"/>
        <v>flower</v>
      </c>
      <c r="J160">
        <v>422</v>
      </c>
      <c r="K160">
        <f t="shared" si="4"/>
        <v>94</v>
      </c>
    </row>
    <row r="161" spans="1:11" x14ac:dyDescent="0.2">
      <c r="A161" t="s">
        <v>57</v>
      </c>
      <c r="B161">
        <v>466.4482421875</v>
      </c>
      <c r="C161">
        <v>13.023953036054101</v>
      </c>
      <c r="D161">
        <v>37.368357520462801</v>
      </c>
      <c r="E161">
        <v>43.294069808433697</v>
      </c>
      <c r="F161">
        <v>0.98865857727611495</v>
      </c>
      <c r="G161">
        <v>94.946203208353396</v>
      </c>
      <c r="H161">
        <v>86.733433076374496</v>
      </c>
      <c r="I161" t="str">
        <f t="shared" si="5"/>
        <v>flower</v>
      </c>
      <c r="J161">
        <v>422</v>
      </c>
      <c r="K161">
        <f t="shared" si="4"/>
        <v>95</v>
      </c>
    </row>
    <row r="162" spans="1:11" x14ac:dyDescent="0.2">
      <c r="A162" t="s">
        <v>58</v>
      </c>
      <c r="B162">
        <v>584.3154296875</v>
      </c>
      <c r="C162">
        <v>10.396781757498699</v>
      </c>
      <c r="D162">
        <v>37.841988573478197</v>
      </c>
      <c r="E162">
        <v>43.774454442895703</v>
      </c>
      <c r="F162">
        <v>0.98994689039582195</v>
      </c>
      <c r="G162">
        <v>95.891505513621794</v>
      </c>
      <c r="H162">
        <v>87.547999102361501</v>
      </c>
      <c r="I162" t="str">
        <f t="shared" si="5"/>
        <v>flower</v>
      </c>
      <c r="J162">
        <v>422</v>
      </c>
      <c r="K162">
        <f t="shared" si="4"/>
        <v>96</v>
      </c>
    </row>
    <row r="163" spans="1:11" x14ac:dyDescent="0.2">
      <c r="A163" t="s">
        <v>59</v>
      </c>
      <c r="B163">
        <v>678.5341796875</v>
      </c>
      <c r="C163">
        <v>8.9531230435552303</v>
      </c>
      <c r="D163">
        <v>38.734678234163603</v>
      </c>
      <c r="E163">
        <v>44.667121346836801</v>
      </c>
      <c r="F163">
        <v>0.99188277066808495</v>
      </c>
      <c r="G163">
        <v>97.647670866669003</v>
      </c>
      <c r="H163">
        <v>88.792896663960406</v>
      </c>
      <c r="I163" t="str">
        <f t="shared" si="5"/>
        <v>flower</v>
      </c>
      <c r="J163">
        <v>422</v>
      </c>
      <c r="K163">
        <f t="shared" si="4"/>
        <v>97</v>
      </c>
    </row>
    <row r="164" spans="1:11" x14ac:dyDescent="0.2">
      <c r="A164" t="s">
        <v>60</v>
      </c>
      <c r="B164">
        <v>829.1884765625</v>
      </c>
      <c r="C164">
        <v>7.3264404555941702</v>
      </c>
      <c r="D164">
        <v>39.693798952255797</v>
      </c>
      <c r="E164">
        <v>45.626617705153897</v>
      </c>
      <c r="F164">
        <v>0.99353884169134699</v>
      </c>
      <c r="G164">
        <v>99.534909524933198</v>
      </c>
      <c r="H164">
        <v>89.878115415330498</v>
      </c>
      <c r="I164" t="str">
        <f t="shared" si="5"/>
        <v>flower</v>
      </c>
      <c r="J164">
        <v>422</v>
      </c>
      <c r="K164">
        <f t="shared" si="4"/>
        <v>98</v>
      </c>
    </row>
    <row r="165" spans="1:11" x14ac:dyDescent="0.2">
      <c r="A165" t="s">
        <v>61</v>
      </c>
      <c r="B165">
        <v>1213.85546875</v>
      </c>
      <c r="C165">
        <v>5.00471444615716</v>
      </c>
      <c r="D165">
        <v>39.271269923853197</v>
      </c>
      <c r="E165">
        <v>45.205614294499</v>
      </c>
      <c r="F165">
        <v>0.99246184328896203</v>
      </c>
      <c r="G165">
        <v>98.706874026064895</v>
      </c>
      <c r="H165">
        <v>89.170218712198704</v>
      </c>
      <c r="I165" t="str">
        <f t="shared" si="5"/>
        <v>flower</v>
      </c>
      <c r="J165">
        <v>422</v>
      </c>
      <c r="K165">
        <f t="shared" si="4"/>
        <v>99</v>
      </c>
    </row>
    <row r="166" spans="1:11" x14ac:dyDescent="0.2">
      <c r="A166" t="s">
        <v>62</v>
      </c>
      <c r="B166">
        <v>1314.126953125</v>
      </c>
      <c r="C166">
        <v>4.6228410318756703</v>
      </c>
      <c r="D166">
        <v>41.573171888115702</v>
      </c>
      <c r="E166">
        <v>47.507571557648902</v>
      </c>
      <c r="F166">
        <v>0.99595974789681296</v>
      </c>
      <c r="G166">
        <v>103.23395432041301</v>
      </c>
      <c r="H166">
        <v>91.498858388420601</v>
      </c>
      <c r="I166" t="str">
        <f t="shared" si="5"/>
        <v>flower</v>
      </c>
      <c r="J166">
        <v>422</v>
      </c>
      <c r="K166">
        <f t="shared" si="4"/>
        <v>100</v>
      </c>
    </row>
    <row r="167" spans="1:11" x14ac:dyDescent="0.2">
      <c r="A167" t="s">
        <v>63</v>
      </c>
      <c r="B167">
        <v>480.625</v>
      </c>
      <c r="C167">
        <v>12.6397919375813</v>
      </c>
      <c r="D167">
        <v>29.287322023009299</v>
      </c>
      <c r="E167">
        <v>38.095200307766497</v>
      </c>
      <c r="F167">
        <v>0.99184345944167096</v>
      </c>
      <c r="G167">
        <v>84.668526194908296</v>
      </c>
      <c r="H167">
        <v>88.767364601769302</v>
      </c>
      <c r="I167" t="str">
        <f t="shared" si="5"/>
        <v>pcgame</v>
      </c>
      <c r="J167">
        <v>422</v>
      </c>
      <c r="K167">
        <f t="shared" si="4"/>
        <v>90</v>
      </c>
    </row>
    <row r="168" spans="1:11" x14ac:dyDescent="0.2">
      <c r="A168" t="s">
        <v>64</v>
      </c>
      <c r="B168">
        <v>496.5791015625</v>
      </c>
      <c r="C168">
        <v>12.2337004938082</v>
      </c>
      <c r="D168">
        <v>29.443366746719999</v>
      </c>
      <c r="E168">
        <v>38.251061360800598</v>
      </c>
      <c r="F168">
        <v>0.99218285184775301</v>
      </c>
      <c r="G168">
        <v>84.979925630707896</v>
      </c>
      <c r="H168">
        <v>88.9881424388673</v>
      </c>
      <c r="I168" t="str">
        <f t="shared" si="5"/>
        <v>pcgame</v>
      </c>
      <c r="J168">
        <v>422</v>
      </c>
      <c r="K168">
        <f t="shared" si="4"/>
        <v>91</v>
      </c>
    </row>
    <row r="169" spans="1:11" x14ac:dyDescent="0.2">
      <c r="A169" t="s">
        <v>65</v>
      </c>
      <c r="B169">
        <v>518.087890625</v>
      </c>
      <c r="C169">
        <v>11.725809674245401</v>
      </c>
      <c r="D169">
        <v>29.6108852189587</v>
      </c>
      <c r="E169">
        <v>38.418086666368097</v>
      </c>
      <c r="F169">
        <v>0.99245179097102998</v>
      </c>
      <c r="G169">
        <v>85.313168466358405</v>
      </c>
      <c r="H169">
        <v>89.163649074589799</v>
      </c>
      <c r="I169" t="str">
        <f t="shared" si="5"/>
        <v>pcgame</v>
      </c>
      <c r="J169">
        <v>422</v>
      </c>
      <c r="K169">
        <f t="shared" si="4"/>
        <v>92</v>
      </c>
    </row>
    <row r="170" spans="1:11" x14ac:dyDescent="0.2">
      <c r="A170" t="s">
        <v>66</v>
      </c>
      <c r="B170">
        <v>554.5107421875</v>
      </c>
      <c r="C170">
        <v>10.9556038103691</v>
      </c>
      <c r="D170">
        <v>29.864155793549902</v>
      </c>
      <c r="E170">
        <v>38.666227493273603</v>
      </c>
      <c r="F170">
        <v>0.99299920228690997</v>
      </c>
      <c r="G170">
        <v>85.807457136567706</v>
      </c>
      <c r="H170">
        <v>89.522417454778406</v>
      </c>
      <c r="I170" t="str">
        <f t="shared" si="5"/>
        <v>pcgame</v>
      </c>
      <c r="J170">
        <v>422</v>
      </c>
      <c r="K170">
        <f t="shared" si="4"/>
        <v>93</v>
      </c>
    </row>
    <row r="171" spans="1:11" x14ac:dyDescent="0.2">
      <c r="A171" t="s">
        <v>67</v>
      </c>
      <c r="B171">
        <v>601.150390625</v>
      </c>
      <c r="C171">
        <v>10.1056243075613</v>
      </c>
      <c r="D171">
        <v>30.066996996525599</v>
      </c>
      <c r="E171">
        <v>38.869402048087402</v>
      </c>
      <c r="F171">
        <v>0.99348741341347202</v>
      </c>
      <c r="G171">
        <v>86.211546167011207</v>
      </c>
      <c r="H171">
        <v>89.844130063916694</v>
      </c>
      <c r="I171" t="str">
        <f t="shared" si="5"/>
        <v>pcgame</v>
      </c>
      <c r="J171">
        <v>422</v>
      </c>
      <c r="K171">
        <f t="shared" si="4"/>
        <v>94</v>
      </c>
    </row>
    <row r="172" spans="1:11" x14ac:dyDescent="0.2">
      <c r="A172" t="s">
        <v>68</v>
      </c>
      <c r="B172">
        <v>655.388671875</v>
      </c>
      <c r="C172">
        <v>9.2693088249756403</v>
      </c>
      <c r="D172">
        <v>30.286651001316301</v>
      </c>
      <c r="E172">
        <v>39.088599287046698</v>
      </c>
      <c r="F172">
        <v>0.99391954427718299</v>
      </c>
      <c r="G172">
        <v>86.646943464811798</v>
      </c>
      <c r="H172">
        <v>90.130266441246206</v>
      </c>
      <c r="I172" t="str">
        <f t="shared" si="5"/>
        <v>pcgame</v>
      </c>
      <c r="J172">
        <v>422</v>
      </c>
      <c r="K172">
        <f t="shared" si="4"/>
        <v>95</v>
      </c>
    </row>
    <row r="173" spans="1:11" x14ac:dyDescent="0.2">
      <c r="A173" t="s">
        <v>69</v>
      </c>
      <c r="B173">
        <v>715.486328125</v>
      </c>
      <c r="C173">
        <v>8.4907282797703694</v>
      </c>
      <c r="D173">
        <v>30.4327199759928</v>
      </c>
      <c r="E173">
        <v>39.239576064041799</v>
      </c>
      <c r="F173">
        <v>0.99421590232921497</v>
      </c>
      <c r="G173">
        <v>86.946529971250399</v>
      </c>
      <c r="H173">
        <v>90.327252096183003</v>
      </c>
      <c r="I173" t="str">
        <f t="shared" si="5"/>
        <v>pcgame</v>
      </c>
      <c r="J173">
        <v>422</v>
      </c>
      <c r="K173">
        <f t="shared" si="4"/>
        <v>96</v>
      </c>
    </row>
    <row r="174" spans="1:11" x14ac:dyDescent="0.2">
      <c r="A174" t="s">
        <v>70</v>
      </c>
      <c r="B174">
        <v>783.9072265625</v>
      </c>
      <c r="C174">
        <v>7.7496415317401697</v>
      </c>
      <c r="D174">
        <v>30.5790340377525</v>
      </c>
      <c r="E174">
        <v>39.385333579253199</v>
      </c>
      <c r="F174">
        <v>0.99471488619933202</v>
      </c>
      <c r="G174">
        <v>87.235547364289999</v>
      </c>
      <c r="H174">
        <v>90.660308179354402</v>
      </c>
      <c r="I174" t="str">
        <f t="shared" si="5"/>
        <v>pcgame</v>
      </c>
      <c r="J174">
        <v>422</v>
      </c>
      <c r="K174">
        <f t="shared" si="4"/>
        <v>97</v>
      </c>
    </row>
    <row r="175" spans="1:11" x14ac:dyDescent="0.2">
      <c r="A175" t="s">
        <v>71</v>
      </c>
      <c r="B175">
        <v>876.826171875</v>
      </c>
      <c r="C175">
        <v>6.9283972067225799</v>
      </c>
      <c r="D175">
        <v>30.635054981598099</v>
      </c>
      <c r="E175">
        <v>39.4407186515039</v>
      </c>
      <c r="F175">
        <v>0.99461493446345906</v>
      </c>
      <c r="G175">
        <v>87.345317278419301</v>
      </c>
      <c r="H175">
        <v>90.593453751762794</v>
      </c>
      <c r="I175" t="str">
        <f t="shared" si="5"/>
        <v>pcgame</v>
      </c>
      <c r="J175">
        <v>422</v>
      </c>
      <c r="K175">
        <f t="shared" si="4"/>
        <v>98</v>
      </c>
    </row>
    <row r="176" spans="1:11" x14ac:dyDescent="0.2">
      <c r="A176" t="s">
        <v>72</v>
      </c>
      <c r="B176">
        <v>1088.751953125</v>
      </c>
      <c r="C176">
        <v>5.5797833313301304</v>
      </c>
      <c r="D176">
        <v>30.607242137458599</v>
      </c>
      <c r="E176">
        <v>39.412608967684598</v>
      </c>
      <c r="F176">
        <v>0.99440258317222896</v>
      </c>
      <c r="G176">
        <v>87.289608967286696</v>
      </c>
      <c r="H176">
        <v>90.4516515323173</v>
      </c>
      <c r="I176" t="str">
        <f t="shared" si="5"/>
        <v>pcgame</v>
      </c>
      <c r="J176">
        <v>422</v>
      </c>
      <c r="K176">
        <f t="shared" si="4"/>
        <v>99</v>
      </c>
    </row>
    <row r="177" spans="1:11" x14ac:dyDescent="0.2">
      <c r="A177" t="s">
        <v>73</v>
      </c>
      <c r="B177">
        <v>1154.4638671875</v>
      </c>
      <c r="C177">
        <v>5.2621828821718699</v>
      </c>
      <c r="D177">
        <v>30.804367564208899</v>
      </c>
      <c r="E177">
        <v>39.609857565073803</v>
      </c>
      <c r="F177">
        <v>0.99519510604628603</v>
      </c>
      <c r="G177">
        <v>87.680377858844906</v>
      </c>
      <c r="H177">
        <v>90.982491223879407</v>
      </c>
      <c r="I177" t="str">
        <f t="shared" si="5"/>
        <v>pcgame</v>
      </c>
      <c r="J177">
        <v>422</v>
      </c>
      <c r="K177">
        <f t="shared" si="4"/>
        <v>100</v>
      </c>
    </row>
    <row r="178" spans="1:11" x14ac:dyDescent="0.2">
      <c r="A178" t="s">
        <v>74</v>
      </c>
      <c r="B178">
        <v>453.384765625</v>
      </c>
      <c r="C178">
        <v>13.399215105133701</v>
      </c>
      <c r="D178">
        <v>30.139524242100801</v>
      </c>
      <c r="E178">
        <v>32.272336013235801</v>
      </c>
      <c r="F178">
        <v>0.98344893108520803</v>
      </c>
      <c r="G178">
        <v>71.769247754132394</v>
      </c>
      <c r="H178">
        <v>83.549499536955395</v>
      </c>
      <c r="I178" t="str">
        <f t="shared" si="5"/>
        <v>pc_desktop</v>
      </c>
      <c r="J178">
        <v>422</v>
      </c>
      <c r="K178">
        <f t="shared" si="4"/>
        <v>90</v>
      </c>
    </row>
    <row r="179" spans="1:11" x14ac:dyDescent="0.2">
      <c r="A179" t="s">
        <v>75</v>
      </c>
      <c r="B179">
        <v>472.6181640625</v>
      </c>
      <c r="C179">
        <v>12.8539283124053</v>
      </c>
      <c r="D179">
        <v>30.197905891154502</v>
      </c>
      <c r="E179">
        <v>32.329800909302797</v>
      </c>
      <c r="F179">
        <v>0.98464063805535196</v>
      </c>
      <c r="G179">
        <v>71.927888980002905</v>
      </c>
      <c r="H179">
        <v>84.262558252820597</v>
      </c>
      <c r="I179" t="str">
        <f t="shared" si="5"/>
        <v>pc_desktop</v>
      </c>
      <c r="J179">
        <v>422</v>
      </c>
      <c r="K179">
        <f t="shared" si="4"/>
        <v>91</v>
      </c>
    </row>
    <row r="180" spans="1:11" x14ac:dyDescent="0.2">
      <c r="A180" t="s">
        <v>76</v>
      </c>
      <c r="B180">
        <v>493.7783203125</v>
      </c>
      <c r="C180">
        <v>12.303091792598901</v>
      </c>
      <c r="D180">
        <v>30.2793054849299</v>
      </c>
      <c r="E180">
        <v>32.410567833534301</v>
      </c>
      <c r="F180">
        <v>0.98523090197242602</v>
      </c>
      <c r="G180">
        <v>72.148675350206503</v>
      </c>
      <c r="H180">
        <v>84.619055864742194</v>
      </c>
      <c r="I180" t="str">
        <f t="shared" si="5"/>
        <v>pc_desktop</v>
      </c>
      <c r="J180">
        <v>422</v>
      </c>
      <c r="K180">
        <f t="shared" si="4"/>
        <v>92</v>
      </c>
    </row>
    <row r="181" spans="1:11" x14ac:dyDescent="0.2">
      <c r="A181" t="s">
        <v>77</v>
      </c>
      <c r="B181">
        <v>526.595703125</v>
      </c>
      <c r="C181">
        <v>11.536364546745901</v>
      </c>
      <c r="D181">
        <v>30.3661857035056</v>
      </c>
      <c r="E181">
        <v>32.494897377479099</v>
      </c>
      <c r="F181">
        <v>0.98668628871379604</v>
      </c>
      <c r="G181">
        <v>72.376562985306606</v>
      </c>
      <c r="H181">
        <v>85.507541104444499</v>
      </c>
      <c r="I181" t="str">
        <f t="shared" si="5"/>
        <v>pc_desktop</v>
      </c>
      <c r="J181">
        <v>422</v>
      </c>
      <c r="K181">
        <f t="shared" si="4"/>
        <v>93</v>
      </c>
    </row>
    <row r="182" spans="1:11" x14ac:dyDescent="0.2">
      <c r="A182" t="s">
        <v>78</v>
      </c>
      <c r="B182">
        <v>566.419921875</v>
      </c>
      <c r="C182">
        <v>10.7252583558328</v>
      </c>
      <c r="D182">
        <v>30.4350259073085</v>
      </c>
      <c r="E182">
        <v>32.562777846736402</v>
      </c>
      <c r="F182">
        <v>0.98761325043078296</v>
      </c>
      <c r="G182">
        <v>72.558107520978893</v>
      </c>
      <c r="H182">
        <v>86.080543621003898</v>
      </c>
      <c r="I182" t="str">
        <f t="shared" si="5"/>
        <v>pc_desktop</v>
      </c>
      <c r="J182">
        <v>422</v>
      </c>
      <c r="K182">
        <f t="shared" si="4"/>
        <v>94</v>
      </c>
    </row>
    <row r="183" spans="1:11" x14ac:dyDescent="0.2">
      <c r="A183" t="s">
        <v>79</v>
      </c>
      <c r="B183">
        <v>621.0966796875</v>
      </c>
      <c r="C183">
        <v>9.7810859382738808</v>
      </c>
      <c r="D183">
        <v>30.518125614468399</v>
      </c>
      <c r="E183">
        <v>32.645224183207297</v>
      </c>
      <c r="F183">
        <v>0.98841254474545803</v>
      </c>
      <c r="G183">
        <v>72.776415832858405</v>
      </c>
      <c r="H183">
        <v>86.579121411839694</v>
      </c>
      <c r="I183" t="str">
        <f t="shared" si="5"/>
        <v>pc_desktop</v>
      </c>
      <c r="J183">
        <v>422</v>
      </c>
      <c r="K183">
        <f t="shared" si="4"/>
        <v>95</v>
      </c>
    </row>
    <row r="184" spans="1:11" x14ac:dyDescent="0.2">
      <c r="A184" t="s">
        <v>80</v>
      </c>
      <c r="B184">
        <v>686.451171875</v>
      </c>
      <c r="C184">
        <v>8.8498647083761295</v>
      </c>
      <c r="D184">
        <v>30.5661768819052</v>
      </c>
      <c r="E184">
        <v>32.693776314983403</v>
      </c>
      <c r="F184">
        <v>0.98933771327192599</v>
      </c>
      <c r="G184">
        <v>72.903884157937298</v>
      </c>
      <c r="H184">
        <v>87.161460291104305</v>
      </c>
      <c r="I184" t="str">
        <f t="shared" si="5"/>
        <v>pc_desktop</v>
      </c>
      <c r="J184">
        <v>422</v>
      </c>
      <c r="K184">
        <f t="shared" si="4"/>
        <v>96</v>
      </c>
    </row>
    <row r="185" spans="1:11" x14ac:dyDescent="0.2">
      <c r="A185" t="s">
        <v>81</v>
      </c>
      <c r="B185">
        <v>752.38671875</v>
      </c>
      <c r="C185">
        <v>8.0743052058293703</v>
      </c>
      <c r="D185">
        <v>30.6201136838636</v>
      </c>
      <c r="E185">
        <v>32.746077489121902</v>
      </c>
      <c r="F185">
        <v>0.99069160926257305</v>
      </c>
      <c r="G185">
        <v>73.040314200276697</v>
      </c>
      <c r="H185">
        <v>88.023911428354495</v>
      </c>
      <c r="I185" t="str">
        <f t="shared" si="5"/>
        <v>pc_desktop</v>
      </c>
      <c r="J185">
        <v>422</v>
      </c>
      <c r="K185">
        <f t="shared" si="4"/>
        <v>97</v>
      </c>
    </row>
    <row r="186" spans="1:11" x14ac:dyDescent="0.2">
      <c r="A186" t="s">
        <v>82</v>
      </c>
      <c r="B186">
        <v>851.9052734375</v>
      </c>
      <c r="C186">
        <v>7.1310745330721197</v>
      </c>
      <c r="D186">
        <v>30.665550051107299</v>
      </c>
      <c r="E186">
        <v>32.790662947083</v>
      </c>
      <c r="F186">
        <v>0.99104783837496102</v>
      </c>
      <c r="G186">
        <v>73.155911729727407</v>
      </c>
      <c r="H186">
        <v>88.252877795397097</v>
      </c>
      <c r="I186" t="str">
        <f t="shared" si="5"/>
        <v>pc_desktop</v>
      </c>
      <c r="J186">
        <v>422</v>
      </c>
      <c r="K186">
        <f t="shared" si="4"/>
        <v>98</v>
      </c>
    </row>
    <row r="187" spans="1:11" x14ac:dyDescent="0.2">
      <c r="A187" t="s">
        <v>83</v>
      </c>
      <c r="B187">
        <v>1053.8525390625</v>
      </c>
      <c r="C187">
        <v>5.7645636128601803</v>
      </c>
      <c r="D187">
        <v>30.689995451015601</v>
      </c>
      <c r="E187">
        <v>32.813607553142603</v>
      </c>
      <c r="F187">
        <v>0.99134305846452297</v>
      </c>
      <c r="G187">
        <v>73.2151520948956</v>
      </c>
      <c r="H187">
        <v>88.443280241207006</v>
      </c>
      <c r="I187" t="str">
        <f t="shared" si="5"/>
        <v>pc_desktop</v>
      </c>
      <c r="J187">
        <v>422</v>
      </c>
      <c r="K187">
        <f t="shared" si="4"/>
        <v>99</v>
      </c>
    </row>
    <row r="188" spans="1:11" x14ac:dyDescent="0.2">
      <c r="A188" t="s">
        <v>84</v>
      </c>
      <c r="B188">
        <v>1135.5693359375</v>
      </c>
      <c r="C188">
        <v>5.3497393842399097</v>
      </c>
      <c r="D188">
        <v>30.7336319836473</v>
      </c>
      <c r="E188">
        <v>32.856002135565603</v>
      </c>
      <c r="F188">
        <v>0.99279625435480201</v>
      </c>
      <c r="G188">
        <v>73.3241732158682</v>
      </c>
      <c r="H188">
        <v>89.389166750850293</v>
      </c>
      <c r="I188" t="str">
        <f t="shared" si="5"/>
        <v>pc_desktop</v>
      </c>
      <c r="J188">
        <v>422</v>
      </c>
      <c r="K188">
        <f t="shared" si="4"/>
        <v>100</v>
      </c>
    </row>
    <row r="189" spans="1:11" x14ac:dyDescent="0.2">
      <c r="A189" t="s">
        <v>85</v>
      </c>
      <c r="B189">
        <v>351.396484375</v>
      </c>
      <c r="C189">
        <v>17.288163855153801</v>
      </c>
      <c r="D189">
        <v>35.382714294182797</v>
      </c>
      <c r="E189">
        <v>40.746872350419302</v>
      </c>
      <c r="F189">
        <v>0.98702056912474101</v>
      </c>
      <c r="G189">
        <v>89.927799634399193</v>
      </c>
      <c r="H189">
        <v>85.713534977798403</v>
      </c>
      <c r="I189" t="str">
        <f t="shared" si="5"/>
        <v>shop</v>
      </c>
      <c r="J189">
        <v>422</v>
      </c>
      <c r="K189">
        <f t="shared" si="4"/>
        <v>90</v>
      </c>
    </row>
    <row r="190" spans="1:11" x14ac:dyDescent="0.2">
      <c r="A190" t="s">
        <v>86</v>
      </c>
      <c r="B190">
        <v>374.111328125</v>
      </c>
      <c r="C190">
        <v>16.2384818188937</v>
      </c>
      <c r="D190">
        <v>35.632686402788401</v>
      </c>
      <c r="E190">
        <v>40.9970836799815</v>
      </c>
      <c r="F190">
        <v>0.98767144296563303</v>
      </c>
      <c r="G190">
        <v>90.421498367100398</v>
      </c>
      <c r="H190">
        <v>86.116701597711696</v>
      </c>
      <c r="I190" t="str">
        <f t="shared" si="5"/>
        <v>shop</v>
      </c>
      <c r="J190">
        <v>422</v>
      </c>
      <c r="K190">
        <f t="shared" si="4"/>
        <v>91</v>
      </c>
    </row>
    <row r="191" spans="1:11" x14ac:dyDescent="0.2">
      <c r="A191" t="s">
        <v>87</v>
      </c>
      <c r="B191">
        <v>392.9833984375</v>
      </c>
      <c r="C191">
        <v>15.458668290197901</v>
      </c>
      <c r="D191">
        <v>35.885860891339398</v>
      </c>
      <c r="E191">
        <v>41.250284590333401</v>
      </c>
      <c r="F191">
        <v>0.98797257740847599</v>
      </c>
      <c r="G191">
        <v>90.920865255801004</v>
      </c>
      <c r="H191">
        <v>86.3041647499372</v>
      </c>
      <c r="I191" t="str">
        <f t="shared" si="5"/>
        <v>shop</v>
      </c>
      <c r="J191">
        <v>422</v>
      </c>
      <c r="K191">
        <f t="shared" si="4"/>
        <v>92</v>
      </c>
    </row>
    <row r="192" spans="1:11" x14ac:dyDescent="0.2">
      <c r="A192" t="s">
        <v>88</v>
      </c>
      <c r="B192">
        <v>433.4072265625</v>
      </c>
      <c r="C192">
        <v>14.016840577816099</v>
      </c>
      <c r="D192">
        <v>36.268294052332202</v>
      </c>
      <c r="E192">
        <v>41.627178495896104</v>
      </c>
      <c r="F192">
        <v>0.98871428460289301</v>
      </c>
      <c r="G192">
        <v>91.663817382374603</v>
      </c>
      <c r="H192">
        <v>86.768428060261598</v>
      </c>
      <c r="I192" t="str">
        <f t="shared" si="5"/>
        <v>shop</v>
      </c>
      <c r="J192">
        <v>422</v>
      </c>
      <c r="K192">
        <f t="shared" si="4"/>
        <v>93</v>
      </c>
    </row>
    <row r="193" spans="1:11" x14ac:dyDescent="0.2">
      <c r="A193" t="s">
        <v>89</v>
      </c>
      <c r="B193">
        <v>479.7734375</v>
      </c>
      <c r="C193">
        <v>12.6622266369217</v>
      </c>
      <c r="D193">
        <v>36.615912472374099</v>
      </c>
      <c r="E193">
        <v>41.974809032330903</v>
      </c>
      <c r="F193">
        <v>0.98933615469699598</v>
      </c>
      <c r="G193">
        <v>92.348763032064497</v>
      </c>
      <c r="H193">
        <v>87.160474499674805</v>
      </c>
      <c r="I193" t="str">
        <f t="shared" si="5"/>
        <v>shop</v>
      </c>
      <c r="J193">
        <v>422</v>
      </c>
      <c r="K193">
        <f t="shared" si="4"/>
        <v>94</v>
      </c>
    </row>
    <row r="194" spans="1:11" x14ac:dyDescent="0.2">
      <c r="A194" t="s">
        <v>90</v>
      </c>
      <c r="B194">
        <v>547.8466796875</v>
      </c>
      <c r="C194">
        <v>11.088868884749401</v>
      </c>
      <c r="D194">
        <v>36.9559900725829</v>
      </c>
      <c r="E194">
        <v>42.314933601291898</v>
      </c>
      <c r="F194">
        <v>0.98971626735849205</v>
      </c>
      <c r="G194">
        <v>93.018675894241994</v>
      </c>
      <c r="H194">
        <v>87.401372071350096</v>
      </c>
      <c r="I194" t="str">
        <f t="shared" si="5"/>
        <v>shop</v>
      </c>
      <c r="J194">
        <v>422</v>
      </c>
      <c r="K194">
        <f t="shared" ref="K194:K257" si="6">(MID(A194,FIND("gimp",A194)+4,FIND(".",A194)-FIND("gimp",A194)-4))+0</f>
        <v>95</v>
      </c>
    </row>
    <row r="195" spans="1:11" x14ac:dyDescent="0.2">
      <c r="A195" t="s">
        <v>91</v>
      </c>
      <c r="B195">
        <v>642.798828125</v>
      </c>
      <c r="C195">
        <v>9.4508573043301194</v>
      </c>
      <c r="D195">
        <v>37.359384681154502</v>
      </c>
      <c r="E195">
        <v>42.7239528573377</v>
      </c>
      <c r="F195">
        <v>0.99060883176216696</v>
      </c>
      <c r="G195">
        <v>93.824025154219399</v>
      </c>
      <c r="H195">
        <v>87.970828601381996</v>
      </c>
      <c r="I195" t="str">
        <f t="shared" ref="I195:I258" si="7">LEFT(A195,FIND("/",A195)-1)</f>
        <v>shop</v>
      </c>
      <c r="J195">
        <v>422</v>
      </c>
      <c r="K195">
        <f t="shared" si="6"/>
        <v>96</v>
      </c>
    </row>
    <row r="196" spans="1:11" x14ac:dyDescent="0.2">
      <c r="A196" t="s">
        <v>92</v>
      </c>
      <c r="B196">
        <v>736.4921875</v>
      </c>
      <c r="C196">
        <v>8.2485600025458492</v>
      </c>
      <c r="D196">
        <v>37.905773583148303</v>
      </c>
      <c r="E196">
        <v>43.270378435587197</v>
      </c>
      <c r="F196">
        <v>0.99184302521051404</v>
      </c>
      <c r="G196">
        <v>94.899577886553203</v>
      </c>
      <c r="H196">
        <v>88.767082633844694</v>
      </c>
      <c r="I196" t="str">
        <f t="shared" si="7"/>
        <v>shop</v>
      </c>
      <c r="J196">
        <v>422</v>
      </c>
      <c r="K196">
        <f t="shared" si="6"/>
        <v>97</v>
      </c>
    </row>
    <row r="197" spans="1:11" x14ac:dyDescent="0.2">
      <c r="A197" t="s">
        <v>93</v>
      </c>
      <c r="B197">
        <v>911.78515625</v>
      </c>
      <c r="C197">
        <v>6.6627537840003104</v>
      </c>
      <c r="D197">
        <v>38.258959318898398</v>
      </c>
      <c r="E197">
        <v>43.623888073098698</v>
      </c>
      <c r="F197">
        <v>0.992115829720842</v>
      </c>
      <c r="G197">
        <v>95.595241428878396</v>
      </c>
      <c r="H197">
        <v>88.944481605474294</v>
      </c>
      <c r="I197" t="str">
        <f t="shared" si="7"/>
        <v>shop</v>
      </c>
      <c r="J197">
        <v>422</v>
      </c>
      <c r="K197">
        <f t="shared" si="6"/>
        <v>98</v>
      </c>
    </row>
    <row r="198" spans="1:11" x14ac:dyDescent="0.2">
      <c r="A198" t="s">
        <v>94</v>
      </c>
      <c r="B198">
        <v>1302.0712890625</v>
      </c>
      <c r="C198">
        <v>4.6656431571991996</v>
      </c>
      <c r="D198">
        <v>38.108824365121301</v>
      </c>
      <c r="E198">
        <v>43.474843204226602</v>
      </c>
      <c r="F198">
        <v>0.99074196666568404</v>
      </c>
      <c r="G198">
        <v>95.3019530378577</v>
      </c>
      <c r="H198">
        <v>88.056226744404299</v>
      </c>
      <c r="I198" t="str">
        <f t="shared" si="7"/>
        <v>shop</v>
      </c>
      <c r="J198">
        <v>422</v>
      </c>
      <c r="K198">
        <f t="shared" si="6"/>
        <v>99</v>
      </c>
    </row>
    <row r="199" spans="1:11" x14ac:dyDescent="0.2">
      <c r="A199" t="s">
        <v>95</v>
      </c>
      <c r="B199">
        <v>1423.2490234375</v>
      </c>
      <c r="C199">
        <v>4.2684027179778896</v>
      </c>
      <c r="D199">
        <v>39.4989539514782</v>
      </c>
      <c r="E199">
        <v>44.865007487516102</v>
      </c>
      <c r="F199">
        <v>0.99461358712839498</v>
      </c>
      <c r="G199">
        <v>98.036921467147906</v>
      </c>
      <c r="H199">
        <v>90.592553042661606</v>
      </c>
      <c r="I199" t="str">
        <f t="shared" si="7"/>
        <v>shop</v>
      </c>
      <c r="J199">
        <v>422</v>
      </c>
      <c r="K199">
        <f t="shared" si="6"/>
        <v>100</v>
      </c>
    </row>
    <row r="200" spans="1:11" x14ac:dyDescent="0.2">
      <c r="A200" t="s">
        <v>96</v>
      </c>
      <c r="B200">
        <v>533.3623046875</v>
      </c>
      <c r="C200">
        <v>11.390006280176401</v>
      </c>
      <c r="D200">
        <v>32.594215289447099</v>
      </c>
      <c r="E200">
        <v>38.938497910851403</v>
      </c>
      <c r="F200">
        <v>0.97559276365195802</v>
      </c>
      <c r="G200">
        <v>86.348852533881299</v>
      </c>
      <c r="H200">
        <v>79.065111356856505</v>
      </c>
      <c r="I200" t="str">
        <f t="shared" si="7"/>
        <v>street</v>
      </c>
      <c r="J200">
        <v>422</v>
      </c>
      <c r="K200">
        <f t="shared" si="6"/>
        <v>90</v>
      </c>
    </row>
    <row r="201" spans="1:11" x14ac:dyDescent="0.2">
      <c r="A201" t="s">
        <v>97</v>
      </c>
      <c r="B201">
        <v>565.294921875</v>
      </c>
      <c r="C201">
        <v>10.7466028172518</v>
      </c>
      <c r="D201">
        <v>32.925362302810797</v>
      </c>
      <c r="E201">
        <v>39.269750399858097</v>
      </c>
      <c r="F201">
        <v>0.97718876250687903</v>
      </c>
      <c r="G201">
        <v>87.006378133906097</v>
      </c>
      <c r="H201">
        <v>79.946516025286897</v>
      </c>
      <c r="I201" t="str">
        <f t="shared" si="7"/>
        <v>street</v>
      </c>
      <c r="J201">
        <v>422</v>
      </c>
      <c r="K201">
        <f t="shared" si="6"/>
        <v>91</v>
      </c>
    </row>
    <row r="202" spans="1:11" x14ac:dyDescent="0.2">
      <c r="A202" t="s">
        <v>98</v>
      </c>
      <c r="B202">
        <v>595.1640625</v>
      </c>
      <c r="C202">
        <v>10.2072695291477</v>
      </c>
      <c r="D202">
        <v>33.269266033274498</v>
      </c>
      <c r="E202">
        <v>39.613811635085199</v>
      </c>
      <c r="F202">
        <v>0.97843189295486399</v>
      </c>
      <c r="G202">
        <v>87.688207979679007</v>
      </c>
      <c r="H202">
        <v>80.643317663707194</v>
      </c>
      <c r="I202" t="str">
        <f t="shared" si="7"/>
        <v>street</v>
      </c>
      <c r="J202">
        <v>422</v>
      </c>
      <c r="K202">
        <f t="shared" si="6"/>
        <v>92</v>
      </c>
    </row>
    <row r="203" spans="1:11" x14ac:dyDescent="0.2">
      <c r="A203" t="s">
        <v>99</v>
      </c>
      <c r="B203">
        <v>647.6787109375</v>
      </c>
      <c r="C203">
        <v>9.3796505850973197</v>
      </c>
      <c r="D203">
        <v>33.743897861425602</v>
      </c>
      <c r="E203">
        <v>40.081695579521202</v>
      </c>
      <c r="F203">
        <v>0.98025938741991303</v>
      </c>
      <c r="G203">
        <v>88.613940329704306</v>
      </c>
      <c r="H203">
        <v>81.6842750633093</v>
      </c>
      <c r="I203" t="str">
        <f t="shared" si="7"/>
        <v>street</v>
      </c>
      <c r="J203">
        <v>422</v>
      </c>
      <c r="K203">
        <f t="shared" si="6"/>
        <v>93</v>
      </c>
    </row>
    <row r="204" spans="1:11" x14ac:dyDescent="0.2">
      <c r="A204" t="s">
        <v>100</v>
      </c>
      <c r="B204">
        <v>711.90625</v>
      </c>
      <c r="C204">
        <v>8.5334269786225398</v>
      </c>
      <c r="D204">
        <v>34.2439069051091</v>
      </c>
      <c r="E204">
        <v>40.582014120303697</v>
      </c>
      <c r="F204">
        <v>0.98208352803395804</v>
      </c>
      <c r="G204">
        <v>89.6023729341955</v>
      </c>
      <c r="H204">
        <v>82.743383720810499</v>
      </c>
      <c r="I204" t="str">
        <f t="shared" si="7"/>
        <v>street</v>
      </c>
      <c r="J204">
        <v>422</v>
      </c>
      <c r="K204">
        <f t="shared" si="6"/>
        <v>94</v>
      </c>
    </row>
    <row r="205" spans="1:11" x14ac:dyDescent="0.2">
      <c r="A205" t="s">
        <v>101</v>
      </c>
      <c r="B205">
        <v>795.6689453125</v>
      </c>
      <c r="C205">
        <v>7.6350849631488797</v>
      </c>
      <c r="D205">
        <v>34.7559430587715</v>
      </c>
      <c r="E205">
        <v>41.094345588695298</v>
      </c>
      <c r="F205">
        <v>0.98353762272160195</v>
      </c>
      <c r="G205">
        <v>90.613345525472099</v>
      </c>
      <c r="H205">
        <v>83.602261980496905</v>
      </c>
      <c r="I205" t="str">
        <f t="shared" si="7"/>
        <v>street</v>
      </c>
      <c r="J205">
        <v>422</v>
      </c>
      <c r="K205">
        <f t="shared" si="6"/>
        <v>95</v>
      </c>
    </row>
    <row r="206" spans="1:11" x14ac:dyDescent="0.2">
      <c r="A206" t="s">
        <v>102</v>
      </c>
      <c r="B206">
        <v>913.28125</v>
      </c>
      <c r="C206">
        <v>6.6518391787852904</v>
      </c>
      <c r="D206">
        <v>35.419909453799903</v>
      </c>
      <c r="E206">
        <v>41.765082291707998</v>
      </c>
      <c r="F206">
        <v>0.98576626170796</v>
      </c>
      <c r="G206">
        <v>91.935566230077598</v>
      </c>
      <c r="H206">
        <v>84.944307022265093</v>
      </c>
      <c r="I206" t="str">
        <f t="shared" si="7"/>
        <v>street</v>
      </c>
      <c r="J206">
        <v>422</v>
      </c>
      <c r="K206">
        <f t="shared" si="6"/>
        <v>96</v>
      </c>
    </row>
    <row r="207" spans="1:11" x14ac:dyDescent="0.2">
      <c r="A207" t="s">
        <v>103</v>
      </c>
      <c r="B207">
        <v>1023.66796875</v>
      </c>
      <c r="C207">
        <v>5.9345414582212399</v>
      </c>
      <c r="D207">
        <v>36.2116227107472</v>
      </c>
      <c r="E207">
        <v>42.556730556626697</v>
      </c>
      <c r="F207">
        <v>0.98824612074849605</v>
      </c>
      <c r="G207">
        <v>93.494798949658303</v>
      </c>
      <c r="H207">
        <v>86.474965833042504</v>
      </c>
      <c r="I207" t="str">
        <f t="shared" si="7"/>
        <v>street</v>
      </c>
      <c r="J207">
        <v>422</v>
      </c>
      <c r="K207">
        <f t="shared" si="6"/>
        <v>97</v>
      </c>
    </row>
    <row r="208" spans="1:11" x14ac:dyDescent="0.2">
      <c r="A208" t="s">
        <v>104</v>
      </c>
      <c r="B208">
        <v>1227.390625</v>
      </c>
      <c r="C208">
        <v>4.9495245248430999</v>
      </c>
      <c r="D208">
        <v>36.8139991579705</v>
      </c>
      <c r="E208">
        <v>43.159720808882</v>
      </c>
      <c r="F208">
        <v>0.98944429475548201</v>
      </c>
      <c r="G208">
        <v>94.681792912844699</v>
      </c>
      <c r="H208">
        <v>87.228910842569107</v>
      </c>
      <c r="I208" t="str">
        <f t="shared" si="7"/>
        <v>street</v>
      </c>
      <c r="J208">
        <v>422</v>
      </c>
      <c r="K208">
        <f t="shared" si="6"/>
        <v>98</v>
      </c>
    </row>
    <row r="209" spans="1:11" x14ac:dyDescent="0.2">
      <c r="A209" t="s">
        <v>105</v>
      </c>
      <c r="B209">
        <v>1654.3642578125</v>
      </c>
      <c r="C209">
        <v>3.6721054455279001</v>
      </c>
      <c r="D209">
        <v>37.002803111202098</v>
      </c>
      <c r="E209">
        <v>43.349360580972302</v>
      </c>
      <c r="F209">
        <v>0.98872048643236099</v>
      </c>
      <c r="G209">
        <v>95.055014958995301</v>
      </c>
      <c r="H209">
        <v>86.772325274908297</v>
      </c>
      <c r="I209" t="str">
        <f t="shared" si="7"/>
        <v>street</v>
      </c>
      <c r="J209">
        <v>422</v>
      </c>
      <c r="K209">
        <f t="shared" si="6"/>
        <v>99</v>
      </c>
    </row>
    <row r="210" spans="1:11" x14ac:dyDescent="0.2">
      <c r="A210" t="s">
        <v>106</v>
      </c>
      <c r="B210">
        <v>1816.880859375</v>
      </c>
      <c r="C210">
        <v>3.3436424676133001</v>
      </c>
      <c r="D210">
        <v>38.520363095053803</v>
      </c>
      <c r="E210">
        <v>44.8670867271235</v>
      </c>
      <c r="F210">
        <v>0.99335338500029302</v>
      </c>
      <c r="G210">
        <v>98.041011335096698</v>
      </c>
      <c r="H210">
        <v>89.755646210158602</v>
      </c>
      <c r="I210" t="str">
        <f t="shared" si="7"/>
        <v>street</v>
      </c>
      <c r="J210">
        <v>422</v>
      </c>
      <c r="K210">
        <f t="shared" si="6"/>
        <v>100</v>
      </c>
    </row>
    <row r="211" spans="1:11" x14ac:dyDescent="0.2">
      <c r="A211" t="s">
        <v>107</v>
      </c>
      <c r="B211">
        <v>291.162109375</v>
      </c>
      <c r="C211">
        <v>20.864665436860601</v>
      </c>
      <c r="D211">
        <v>38.026509981801297</v>
      </c>
      <c r="E211">
        <v>42.689824574048799</v>
      </c>
      <c r="F211">
        <v>0.98485074392268002</v>
      </c>
      <c r="G211">
        <v>93.7568368008112</v>
      </c>
      <c r="H211">
        <v>84.389201619730301</v>
      </c>
      <c r="I211" t="str">
        <f t="shared" si="7"/>
        <v>wedding</v>
      </c>
      <c r="J211">
        <v>422</v>
      </c>
      <c r="K211">
        <f t="shared" si="6"/>
        <v>90</v>
      </c>
    </row>
    <row r="212" spans="1:11" x14ac:dyDescent="0.2">
      <c r="A212" t="s">
        <v>108</v>
      </c>
      <c r="B212">
        <v>312.7373046875</v>
      </c>
      <c r="C212">
        <v>19.425248951577402</v>
      </c>
      <c r="D212">
        <v>38.278255716303597</v>
      </c>
      <c r="E212">
        <v>42.941764033746303</v>
      </c>
      <c r="F212">
        <v>0.98569628575054702</v>
      </c>
      <c r="G212">
        <v>94.252794149998905</v>
      </c>
      <c r="H212">
        <v>84.901690195336201</v>
      </c>
      <c r="I212" t="str">
        <f t="shared" si="7"/>
        <v>wedding</v>
      </c>
      <c r="J212">
        <v>422</v>
      </c>
      <c r="K212">
        <f t="shared" si="6"/>
        <v>91</v>
      </c>
    </row>
    <row r="213" spans="1:11" x14ac:dyDescent="0.2">
      <c r="A213" t="s">
        <v>109</v>
      </c>
      <c r="B213">
        <v>330.3623046875</v>
      </c>
      <c r="C213">
        <v>18.388901862597599</v>
      </c>
      <c r="D213">
        <v>38.494798291628797</v>
      </c>
      <c r="E213">
        <v>43.158390660789998</v>
      </c>
      <c r="F213">
        <v>0.98635098470358795</v>
      </c>
      <c r="G213">
        <v>94.679174974957604</v>
      </c>
      <c r="H213">
        <v>85.301640697399307</v>
      </c>
      <c r="I213" t="str">
        <f t="shared" si="7"/>
        <v>wedding</v>
      </c>
      <c r="J213">
        <v>422</v>
      </c>
      <c r="K213">
        <f t="shared" si="6"/>
        <v>92</v>
      </c>
    </row>
    <row r="214" spans="1:11" x14ac:dyDescent="0.2">
      <c r="A214" t="s">
        <v>110</v>
      </c>
      <c r="B214">
        <v>368.4423828125</v>
      </c>
      <c r="C214">
        <v>16.488331102482199</v>
      </c>
      <c r="D214">
        <v>38.9062223972075</v>
      </c>
      <c r="E214">
        <v>43.564715625410201</v>
      </c>
      <c r="F214">
        <v>0.98727574204979296</v>
      </c>
      <c r="G214">
        <v>95.478804964010394</v>
      </c>
      <c r="H214">
        <v>85.871267180309403</v>
      </c>
      <c r="I214" t="str">
        <f t="shared" si="7"/>
        <v>wedding</v>
      </c>
      <c r="J214">
        <v>422</v>
      </c>
      <c r="K214">
        <f t="shared" si="6"/>
        <v>93</v>
      </c>
    </row>
    <row r="215" spans="1:11" x14ac:dyDescent="0.2">
      <c r="A215" t="s">
        <v>111</v>
      </c>
      <c r="B215">
        <v>412.68359375</v>
      </c>
      <c r="C215">
        <v>14.72072089127</v>
      </c>
      <c r="D215">
        <v>39.266903758718001</v>
      </c>
      <c r="E215">
        <v>43.925793228823302</v>
      </c>
      <c r="F215">
        <v>0.98819818064429699</v>
      </c>
      <c r="G215">
        <v>96.189272444863903</v>
      </c>
      <c r="H215">
        <v>86.4449964913115</v>
      </c>
      <c r="I215" t="str">
        <f t="shared" si="7"/>
        <v>wedding</v>
      </c>
      <c r="J215">
        <v>422</v>
      </c>
      <c r="K215">
        <f t="shared" si="6"/>
        <v>94</v>
      </c>
    </row>
    <row r="216" spans="1:11" x14ac:dyDescent="0.2">
      <c r="A216" t="s">
        <v>112</v>
      </c>
      <c r="B216">
        <v>471.4814453125</v>
      </c>
      <c r="C216">
        <v>12.884918506121601</v>
      </c>
      <c r="D216">
        <v>39.566468463314003</v>
      </c>
      <c r="E216">
        <v>44.225643640159603</v>
      </c>
      <c r="F216">
        <v>0.98878927181142096</v>
      </c>
      <c r="G216">
        <v>96.779198757363602</v>
      </c>
      <c r="H216">
        <v>86.815566847131805</v>
      </c>
      <c r="I216" t="str">
        <f t="shared" si="7"/>
        <v>wedding</v>
      </c>
      <c r="J216">
        <v>422</v>
      </c>
      <c r="K216">
        <f t="shared" si="6"/>
        <v>95</v>
      </c>
    </row>
    <row r="217" spans="1:11" x14ac:dyDescent="0.2">
      <c r="A217" t="s">
        <v>113</v>
      </c>
      <c r="B217">
        <v>558.255859375</v>
      </c>
      <c r="C217">
        <v>10.882107008785001</v>
      </c>
      <c r="D217">
        <v>40.024028939382703</v>
      </c>
      <c r="E217">
        <v>44.688554817840902</v>
      </c>
      <c r="F217">
        <v>0.99013995121937404</v>
      </c>
      <c r="G217">
        <v>97.689832243693502</v>
      </c>
      <c r="H217">
        <v>87.671017705107502</v>
      </c>
      <c r="I217" t="str">
        <f t="shared" si="7"/>
        <v>wedding</v>
      </c>
      <c r="J217">
        <v>422</v>
      </c>
      <c r="K217">
        <f t="shared" si="6"/>
        <v>96</v>
      </c>
    </row>
    <row r="218" spans="1:11" x14ac:dyDescent="0.2">
      <c r="A218" t="s">
        <v>114</v>
      </c>
      <c r="B218">
        <v>641.4931640625</v>
      </c>
      <c r="C218">
        <v>9.4700931207555605</v>
      </c>
      <c r="D218">
        <v>40.672251650303302</v>
      </c>
      <c r="E218">
        <v>45.336792653194102</v>
      </c>
      <c r="F218">
        <v>0.99155595148839404</v>
      </c>
      <c r="G218">
        <v>98.964883134319194</v>
      </c>
      <c r="H218">
        <v>88.580952295231995</v>
      </c>
      <c r="I218" t="str">
        <f t="shared" si="7"/>
        <v>wedding</v>
      </c>
      <c r="J218">
        <v>422</v>
      </c>
      <c r="K218">
        <f t="shared" si="6"/>
        <v>97</v>
      </c>
    </row>
    <row r="219" spans="1:11" x14ac:dyDescent="0.2">
      <c r="A219" t="s">
        <v>115</v>
      </c>
      <c r="B219">
        <v>795.1220703125</v>
      </c>
      <c r="C219">
        <v>7.6403362789469504</v>
      </c>
      <c r="D219">
        <v>41.023110908559801</v>
      </c>
      <c r="E219">
        <v>45.688035980830598</v>
      </c>
      <c r="F219">
        <v>0.99193013330691104</v>
      </c>
      <c r="G219">
        <v>99.655703744773504</v>
      </c>
      <c r="H219">
        <v>88.823671992994605</v>
      </c>
      <c r="I219" t="str">
        <f t="shared" si="7"/>
        <v>wedding</v>
      </c>
      <c r="J219">
        <v>422</v>
      </c>
      <c r="K219">
        <f t="shared" si="6"/>
        <v>98</v>
      </c>
    </row>
    <row r="220" spans="1:11" x14ac:dyDescent="0.2">
      <c r="A220" t="s">
        <v>116</v>
      </c>
      <c r="B220">
        <v>1173.125</v>
      </c>
      <c r="C220">
        <v>5.1784762919552501</v>
      </c>
      <c r="D220">
        <v>40.435089785464498</v>
      </c>
      <c r="E220">
        <v>45.100404215052102</v>
      </c>
      <c r="F220">
        <v>0.98924192726579996</v>
      </c>
      <c r="G220">
        <v>98.499936738911302</v>
      </c>
      <c r="H220">
        <v>87.100906022291795</v>
      </c>
      <c r="I220" t="str">
        <f t="shared" si="7"/>
        <v>wedding</v>
      </c>
      <c r="J220">
        <v>422</v>
      </c>
      <c r="K220">
        <f t="shared" si="6"/>
        <v>99</v>
      </c>
    </row>
    <row r="221" spans="1:11" x14ac:dyDescent="0.2">
      <c r="A221" t="s">
        <v>117</v>
      </c>
      <c r="B221">
        <v>1274.59765625</v>
      </c>
      <c r="C221">
        <v>4.76620992531344</v>
      </c>
      <c r="D221">
        <v>42.486873107846201</v>
      </c>
      <c r="E221">
        <v>47.1527180367274</v>
      </c>
      <c r="F221">
        <v>0.99419117463439799</v>
      </c>
      <c r="G221">
        <v>102.536144546683</v>
      </c>
      <c r="H221">
        <v>90.310792453655907</v>
      </c>
      <c r="I221" t="str">
        <f t="shared" si="7"/>
        <v>wedding</v>
      </c>
      <c r="J221">
        <v>422</v>
      </c>
      <c r="K221">
        <f t="shared" si="6"/>
        <v>100</v>
      </c>
    </row>
    <row r="222" spans="1:11" x14ac:dyDescent="0.2">
      <c r="A222" t="s">
        <v>8</v>
      </c>
      <c r="B222">
        <v>610.1298828125</v>
      </c>
      <c r="C222">
        <v>9.9568963447524101</v>
      </c>
      <c r="D222">
        <v>31.188848461900701</v>
      </c>
      <c r="E222">
        <v>38.765656649215899</v>
      </c>
      <c r="F222">
        <v>0.98409592539773605</v>
      </c>
      <c r="G222">
        <v>86.005275534693894</v>
      </c>
      <c r="H222">
        <v>83.935523549011805</v>
      </c>
      <c r="I222" t="str">
        <f t="shared" si="7"/>
        <v>bar</v>
      </c>
      <c r="J222">
        <v>444</v>
      </c>
      <c r="K222">
        <f t="shared" si="6"/>
        <v>90</v>
      </c>
    </row>
    <row r="223" spans="1:11" x14ac:dyDescent="0.2">
      <c r="A223" t="s">
        <v>9</v>
      </c>
      <c r="B223">
        <v>656.8935546875</v>
      </c>
      <c r="C223">
        <v>9.2480736896406697</v>
      </c>
      <c r="D223">
        <v>31.509681772572598</v>
      </c>
      <c r="E223">
        <v>39.0863054380563</v>
      </c>
      <c r="F223">
        <v>0.985053068354515</v>
      </c>
      <c r="G223">
        <v>86.642389903959398</v>
      </c>
      <c r="H223">
        <v>84.511418606556603</v>
      </c>
      <c r="I223" t="str">
        <f t="shared" si="7"/>
        <v>bar</v>
      </c>
      <c r="J223">
        <v>444</v>
      </c>
      <c r="K223">
        <f t="shared" si="6"/>
        <v>91</v>
      </c>
    </row>
    <row r="224" spans="1:11" x14ac:dyDescent="0.2">
      <c r="A224" t="s">
        <v>10</v>
      </c>
      <c r="B224">
        <v>699.0029296875</v>
      </c>
      <c r="C224">
        <v>8.6909506984697806</v>
      </c>
      <c r="D224">
        <v>31.8099920457908</v>
      </c>
      <c r="E224">
        <v>39.386333113895198</v>
      </c>
      <c r="F224">
        <v>0.98579612104029901</v>
      </c>
      <c r="G224">
        <v>87.2375286252351</v>
      </c>
      <c r="H224">
        <v>84.962501503522205</v>
      </c>
      <c r="I224" t="str">
        <f t="shared" si="7"/>
        <v>bar</v>
      </c>
      <c r="J224">
        <v>444</v>
      </c>
      <c r="K224">
        <f t="shared" si="6"/>
        <v>92</v>
      </c>
    </row>
    <row r="225" spans="1:11" x14ac:dyDescent="0.2">
      <c r="A225" t="s">
        <v>11</v>
      </c>
      <c r="B225">
        <v>766.1787109375</v>
      </c>
      <c r="C225">
        <v>7.9289595407403102</v>
      </c>
      <c r="D225">
        <v>32.3440216409521</v>
      </c>
      <c r="E225">
        <v>39.913271642092099</v>
      </c>
      <c r="F225">
        <v>0.98704687019088799</v>
      </c>
      <c r="G225">
        <v>88.280878205560001</v>
      </c>
      <c r="H225">
        <v>85.729773172003902</v>
      </c>
      <c r="I225" t="str">
        <f t="shared" si="7"/>
        <v>bar</v>
      </c>
      <c r="J225">
        <v>444</v>
      </c>
      <c r="K225">
        <f t="shared" si="6"/>
        <v>93</v>
      </c>
    </row>
    <row r="226" spans="1:11" x14ac:dyDescent="0.2">
      <c r="A226" t="s">
        <v>12</v>
      </c>
      <c r="B226">
        <v>854.15234375</v>
      </c>
      <c r="C226">
        <v>7.1123143833204496</v>
      </c>
      <c r="D226">
        <v>32.948244563020197</v>
      </c>
      <c r="E226">
        <v>40.517317548885799</v>
      </c>
      <c r="F226">
        <v>0.98844445829418404</v>
      </c>
      <c r="G226">
        <v>89.474629891880994</v>
      </c>
      <c r="H226">
        <v>86.599115124210599</v>
      </c>
      <c r="I226" t="str">
        <f t="shared" si="7"/>
        <v>bar</v>
      </c>
      <c r="J226">
        <v>444</v>
      </c>
      <c r="K226">
        <f t="shared" si="6"/>
        <v>94</v>
      </c>
    </row>
    <row r="227" spans="1:11" x14ac:dyDescent="0.2">
      <c r="A227" t="s">
        <v>13</v>
      </c>
      <c r="B227">
        <v>964.578125</v>
      </c>
      <c r="C227">
        <v>6.2980901624738799</v>
      </c>
      <c r="D227">
        <v>33.584189096139497</v>
      </c>
      <c r="E227">
        <v>41.152835882615797</v>
      </c>
      <c r="F227">
        <v>0.98969487434965397</v>
      </c>
      <c r="G227">
        <v>90.728700754828296</v>
      </c>
      <c r="H227">
        <v>87.387788657303005</v>
      </c>
      <c r="I227" t="str">
        <f t="shared" si="7"/>
        <v>bar</v>
      </c>
      <c r="J227">
        <v>444</v>
      </c>
      <c r="K227">
        <f t="shared" si="6"/>
        <v>95</v>
      </c>
    </row>
    <row r="228" spans="1:11" x14ac:dyDescent="0.2">
      <c r="A228" t="s">
        <v>14</v>
      </c>
      <c r="B228">
        <v>1121.0498046875</v>
      </c>
      <c r="C228">
        <v>5.4190277493455801</v>
      </c>
      <c r="D228">
        <v>34.547820216161902</v>
      </c>
      <c r="E228">
        <v>42.123333935343801</v>
      </c>
      <c r="F228">
        <v>0.99166346271163797</v>
      </c>
      <c r="G228">
        <v>92.641326120270605</v>
      </c>
      <c r="H228">
        <v>88.650593810218396</v>
      </c>
      <c r="I228" t="str">
        <f t="shared" si="7"/>
        <v>bar</v>
      </c>
      <c r="J228">
        <v>444</v>
      </c>
      <c r="K228">
        <f t="shared" si="6"/>
        <v>96</v>
      </c>
    </row>
    <row r="229" spans="1:11" x14ac:dyDescent="0.2">
      <c r="A229" t="s">
        <v>15</v>
      </c>
      <c r="B229">
        <v>1248.33203125</v>
      </c>
      <c r="C229">
        <v>4.86649372756772</v>
      </c>
      <c r="D229">
        <v>35.932624487308502</v>
      </c>
      <c r="E229">
        <v>43.508533669580999</v>
      </c>
      <c r="F229">
        <v>0.99383361609819798</v>
      </c>
      <c r="G229">
        <v>95.368250317363405</v>
      </c>
      <c r="H229">
        <v>90.073265496338294</v>
      </c>
      <c r="I229" t="str">
        <f t="shared" si="7"/>
        <v>bar</v>
      </c>
      <c r="J229">
        <v>444</v>
      </c>
      <c r="K229">
        <f t="shared" si="6"/>
        <v>97</v>
      </c>
    </row>
    <row r="230" spans="1:11" x14ac:dyDescent="0.2">
      <c r="A230" t="s">
        <v>16</v>
      </c>
      <c r="B230">
        <v>1508.080078125</v>
      </c>
      <c r="C230">
        <v>4.0283006772114298</v>
      </c>
      <c r="D230">
        <v>36.933353238033</v>
      </c>
      <c r="E230">
        <v>44.508881202993798</v>
      </c>
      <c r="F230">
        <v>0.99513353259962001</v>
      </c>
      <c r="G230">
        <v>97.336393128193805</v>
      </c>
      <c r="H230">
        <v>90.941090326487497</v>
      </c>
      <c r="I230" t="str">
        <f t="shared" si="7"/>
        <v>bar</v>
      </c>
      <c r="J230">
        <v>444</v>
      </c>
      <c r="K230">
        <f t="shared" si="6"/>
        <v>98</v>
      </c>
    </row>
    <row r="231" spans="1:11" x14ac:dyDescent="0.2">
      <c r="A231" t="s">
        <v>17</v>
      </c>
      <c r="B231">
        <v>2208.6240234375</v>
      </c>
      <c r="C231">
        <v>2.7505813282538099</v>
      </c>
      <c r="D231">
        <v>36.689360060829799</v>
      </c>
      <c r="E231">
        <v>44.264494725483402</v>
      </c>
      <c r="F231">
        <v>0.99369879659740801</v>
      </c>
      <c r="G231">
        <v>96.855630478970696</v>
      </c>
      <c r="H231">
        <v>89.983935753280505</v>
      </c>
      <c r="I231" t="str">
        <f t="shared" si="7"/>
        <v>bar</v>
      </c>
      <c r="J231">
        <v>444</v>
      </c>
      <c r="K231">
        <f t="shared" si="6"/>
        <v>99</v>
      </c>
    </row>
    <row r="232" spans="1:11" x14ac:dyDescent="0.2">
      <c r="A232" t="s">
        <v>18</v>
      </c>
      <c r="B232">
        <v>2472.6484375</v>
      </c>
      <c r="C232">
        <v>2.4568798005680899</v>
      </c>
      <c r="D232">
        <v>40.094524967820803</v>
      </c>
      <c r="E232">
        <v>47.670697313117898</v>
      </c>
      <c r="F232">
        <v>0.99728488901687595</v>
      </c>
      <c r="G232">
        <v>103.55473277354299</v>
      </c>
      <c r="H232">
        <v>92.403607357593302</v>
      </c>
      <c r="I232" t="str">
        <f t="shared" si="7"/>
        <v>bar</v>
      </c>
      <c r="J232">
        <v>444</v>
      </c>
      <c r="K232">
        <f t="shared" si="6"/>
        <v>100</v>
      </c>
    </row>
    <row r="233" spans="1:11" x14ac:dyDescent="0.2">
      <c r="A233" t="s">
        <v>19</v>
      </c>
      <c r="B233">
        <v>702.6513671875</v>
      </c>
      <c r="C233">
        <v>8.6458239230592806</v>
      </c>
      <c r="D233">
        <v>33.358521784744298</v>
      </c>
      <c r="E233">
        <v>38.695731865188002</v>
      </c>
      <c r="F233">
        <v>0.98318546234924797</v>
      </c>
      <c r="G233">
        <v>85.866170960409406</v>
      </c>
      <c r="H233">
        <v>83.393051576766098</v>
      </c>
      <c r="I233" t="str">
        <f t="shared" si="7"/>
        <v>building</v>
      </c>
      <c r="J233">
        <v>444</v>
      </c>
      <c r="K233">
        <f t="shared" si="6"/>
        <v>90</v>
      </c>
    </row>
    <row r="234" spans="1:11" x14ac:dyDescent="0.2">
      <c r="A234" t="s">
        <v>20</v>
      </c>
      <c r="B234">
        <v>741.8564453125</v>
      </c>
      <c r="C234">
        <v>8.1889158453573394</v>
      </c>
      <c r="D234">
        <v>33.8100016004732</v>
      </c>
      <c r="E234">
        <v>39.147286910722002</v>
      </c>
      <c r="F234">
        <v>0.98451282377932103</v>
      </c>
      <c r="G234">
        <v>86.763426406547197</v>
      </c>
      <c r="H234">
        <v>84.185653309188396</v>
      </c>
      <c r="I234" t="str">
        <f t="shared" si="7"/>
        <v>building</v>
      </c>
      <c r="J234">
        <v>444</v>
      </c>
      <c r="K234">
        <f t="shared" si="6"/>
        <v>91</v>
      </c>
    </row>
    <row r="235" spans="1:11" x14ac:dyDescent="0.2">
      <c r="A235" t="s">
        <v>21</v>
      </c>
      <c r="B235">
        <v>779.7607421875</v>
      </c>
      <c r="C235">
        <v>7.7908513103102797</v>
      </c>
      <c r="D235">
        <v>34.285321168930203</v>
      </c>
      <c r="E235">
        <v>39.6227266940015</v>
      </c>
      <c r="F235">
        <v>0.98548647865301497</v>
      </c>
      <c r="G235">
        <v>87.705861736669704</v>
      </c>
      <c r="H235">
        <v>84.774100546671903</v>
      </c>
      <c r="I235" t="str">
        <f t="shared" si="7"/>
        <v>building</v>
      </c>
      <c r="J235">
        <v>444</v>
      </c>
      <c r="K235">
        <f t="shared" si="6"/>
        <v>92</v>
      </c>
    </row>
    <row r="236" spans="1:11" x14ac:dyDescent="0.2">
      <c r="A236" t="s">
        <v>22</v>
      </c>
      <c r="B236">
        <v>844.4609375</v>
      </c>
      <c r="C236">
        <v>7.1939384407582496</v>
      </c>
      <c r="D236">
        <v>34.947308706715098</v>
      </c>
      <c r="E236">
        <v>40.279212700655201</v>
      </c>
      <c r="F236">
        <v>0.98692024622637398</v>
      </c>
      <c r="G236">
        <v>89.0043160910393</v>
      </c>
      <c r="H236">
        <v>85.651637054551898</v>
      </c>
      <c r="I236" t="str">
        <f t="shared" si="7"/>
        <v>building</v>
      </c>
      <c r="J236">
        <v>444</v>
      </c>
      <c r="K236">
        <f t="shared" si="6"/>
        <v>93</v>
      </c>
    </row>
    <row r="237" spans="1:11" x14ac:dyDescent="0.2">
      <c r="A237" t="s">
        <v>23</v>
      </c>
      <c r="B237">
        <v>923.783203125</v>
      </c>
      <c r="C237">
        <v>6.5762182939128104</v>
      </c>
      <c r="D237">
        <v>35.646952745373902</v>
      </c>
      <c r="E237">
        <v>40.97900762327</v>
      </c>
      <c r="F237">
        <v>0.98828059804522805</v>
      </c>
      <c r="G237">
        <v>90.385839996033894</v>
      </c>
      <c r="H237">
        <v>86.4965283361594</v>
      </c>
      <c r="I237" t="str">
        <f t="shared" si="7"/>
        <v>building</v>
      </c>
      <c r="J237">
        <v>444</v>
      </c>
      <c r="K237">
        <f t="shared" si="6"/>
        <v>94</v>
      </c>
    </row>
    <row r="238" spans="1:11" x14ac:dyDescent="0.2">
      <c r="A238" t="s">
        <v>24</v>
      </c>
      <c r="B238">
        <v>1031.982421875</v>
      </c>
      <c r="C238">
        <v>5.8867281760113599</v>
      </c>
      <c r="D238">
        <v>36.313586012084897</v>
      </c>
      <c r="E238">
        <v>41.645633689686797</v>
      </c>
      <c r="F238">
        <v>0.98917551644186497</v>
      </c>
      <c r="G238">
        <v>91.700187305803595</v>
      </c>
      <c r="H238">
        <v>87.058957946920401</v>
      </c>
      <c r="I238" t="str">
        <f t="shared" si="7"/>
        <v>building</v>
      </c>
      <c r="J238">
        <v>444</v>
      </c>
      <c r="K238">
        <f t="shared" si="6"/>
        <v>95</v>
      </c>
    </row>
    <row r="239" spans="1:11" x14ac:dyDescent="0.2">
      <c r="A239" t="s">
        <v>25</v>
      </c>
      <c r="B239">
        <v>1185.8076171875</v>
      </c>
      <c r="C239">
        <v>5.1230907205746297</v>
      </c>
      <c r="D239">
        <v>37.196363360301</v>
      </c>
      <c r="E239">
        <v>42.534081255340098</v>
      </c>
      <c r="F239">
        <v>0.99067595598193603</v>
      </c>
      <c r="G239">
        <v>93.450204033931797</v>
      </c>
      <c r="H239">
        <v>88.0138698948967</v>
      </c>
      <c r="I239" t="str">
        <f t="shared" si="7"/>
        <v>building</v>
      </c>
      <c r="J239">
        <v>444</v>
      </c>
      <c r="K239">
        <f t="shared" si="6"/>
        <v>96</v>
      </c>
    </row>
    <row r="240" spans="1:11" x14ac:dyDescent="0.2">
      <c r="A240" t="s">
        <v>26</v>
      </c>
      <c r="B240">
        <v>1320.1171875</v>
      </c>
      <c r="C240">
        <v>4.6018641810918801</v>
      </c>
      <c r="D240">
        <v>38.441225817430002</v>
      </c>
      <c r="E240">
        <v>43.779316494472098</v>
      </c>
      <c r="F240">
        <v>0.99253534341466598</v>
      </c>
      <c r="G240">
        <v>95.901072110246503</v>
      </c>
      <c r="H240">
        <v>89.218275384776504</v>
      </c>
      <c r="I240" t="str">
        <f t="shared" si="7"/>
        <v>building</v>
      </c>
      <c r="J240">
        <v>444</v>
      </c>
      <c r="K240">
        <f t="shared" si="6"/>
        <v>97</v>
      </c>
    </row>
    <row r="241" spans="1:11" x14ac:dyDescent="0.2">
      <c r="A241" t="s">
        <v>27</v>
      </c>
      <c r="B241">
        <v>1614.3994140625</v>
      </c>
      <c r="C241">
        <v>3.76300929440551</v>
      </c>
      <c r="D241">
        <v>39.085133280078303</v>
      </c>
      <c r="E241">
        <v>44.423043270297001</v>
      </c>
      <c r="F241">
        <v>0.99266121033822996</v>
      </c>
      <c r="G241">
        <v>97.167534340761307</v>
      </c>
      <c r="H241">
        <v>89.300657244361403</v>
      </c>
      <c r="I241" t="str">
        <f t="shared" si="7"/>
        <v>building</v>
      </c>
      <c r="J241">
        <v>444</v>
      </c>
      <c r="K241">
        <f t="shared" si="6"/>
        <v>98</v>
      </c>
    </row>
    <row r="242" spans="1:11" x14ac:dyDescent="0.2">
      <c r="A242" t="s">
        <v>28</v>
      </c>
      <c r="B242">
        <v>2319.0576171875</v>
      </c>
      <c r="C242">
        <v>2.6195985623537998</v>
      </c>
      <c r="D242">
        <v>38.981660911997103</v>
      </c>
      <c r="E242">
        <v>44.318817735007599</v>
      </c>
      <c r="F242">
        <v>0.98950683793852201</v>
      </c>
      <c r="G242">
        <v>96.9624986889729</v>
      </c>
      <c r="H242">
        <v>87.268526696190506</v>
      </c>
      <c r="I242" t="str">
        <f t="shared" si="7"/>
        <v>building</v>
      </c>
      <c r="J242">
        <v>444</v>
      </c>
      <c r="K242">
        <f t="shared" si="6"/>
        <v>99</v>
      </c>
    </row>
    <row r="243" spans="1:11" x14ac:dyDescent="0.2">
      <c r="A243" t="s">
        <v>29</v>
      </c>
      <c r="B243">
        <v>2600.533203125</v>
      </c>
      <c r="C243">
        <v>2.3360593868595201</v>
      </c>
      <c r="D243">
        <v>42.397407116182201</v>
      </c>
      <c r="E243">
        <v>47.735518139858897</v>
      </c>
      <c r="F243">
        <v>0.99554057453803602</v>
      </c>
      <c r="G243">
        <v>103.682199004102</v>
      </c>
      <c r="H243">
        <v>91.215274989584003</v>
      </c>
      <c r="I243" t="str">
        <f t="shared" si="7"/>
        <v>building</v>
      </c>
      <c r="J243">
        <v>444</v>
      </c>
      <c r="K243">
        <f t="shared" si="6"/>
        <v>100</v>
      </c>
    </row>
    <row r="244" spans="1:11" x14ac:dyDescent="0.2">
      <c r="A244" t="s">
        <v>30</v>
      </c>
      <c r="B244">
        <v>291.3603515625</v>
      </c>
      <c r="C244">
        <v>20.850469075223</v>
      </c>
      <c r="D244">
        <v>31.5852894151386</v>
      </c>
      <c r="E244">
        <v>42.089076261767197</v>
      </c>
      <c r="F244">
        <v>0.98955696729293896</v>
      </c>
      <c r="G244">
        <v>92.573849507559203</v>
      </c>
      <c r="H244">
        <v>87.300298205458105</v>
      </c>
      <c r="I244" t="str">
        <f t="shared" si="7"/>
        <v>character</v>
      </c>
      <c r="J244">
        <v>444</v>
      </c>
      <c r="K244">
        <f t="shared" si="6"/>
        <v>90</v>
      </c>
    </row>
    <row r="245" spans="1:11" x14ac:dyDescent="0.2">
      <c r="A245" t="s">
        <v>31</v>
      </c>
      <c r="B245">
        <v>319.322265625</v>
      </c>
      <c r="C245">
        <v>19.024667722777099</v>
      </c>
      <c r="D245">
        <v>31.787696022252199</v>
      </c>
      <c r="E245">
        <v>42.291506575383103</v>
      </c>
      <c r="F245">
        <v>0.98987217888159196</v>
      </c>
      <c r="G245">
        <v>92.972540578092307</v>
      </c>
      <c r="H245">
        <v>87.500459666933196</v>
      </c>
      <c r="I245" t="str">
        <f t="shared" si="7"/>
        <v>character</v>
      </c>
      <c r="J245">
        <v>444</v>
      </c>
      <c r="K245">
        <f t="shared" si="6"/>
        <v>91</v>
      </c>
    </row>
    <row r="246" spans="1:11" x14ac:dyDescent="0.2">
      <c r="A246" t="s">
        <v>32</v>
      </c>
      <c r="B246">
        <v>340.7548828125</v>
      </c>
      <c r="C246">
        <v>17.828064413511999</v>
      </c>
      <c r="D246">
        <v>31.946872909636301</v>
      </c>
      <c r="E246">
        <v>42.450506190827902</v>
      </c>
      <c r="F246">
        <v>0.990003977505299</v>
      </c>
      <c r="G246">
        <v>93.285643711051307</v>
      </c>
      <c r="H246">
        <v>87.584349136087198</v>
      </c>
      <c r="I246" t="str">
        <f t="shared" si="7"/>
        <v>character</v>
      </c>
      <c r="J246">
        <v>444</v>
      </c>
      <c r="K246">
        <f t="shared" si="6"/>
        <v>92</v>
      </c>
    </row>
    <row r="247" spans="1:11" x14ac:dyDescent="0.2">
      <c r="A247" t="s">
        <v>33</v>
      </c>
      <c r="B247">
        <v>384.4912109375</v>
      </c>
      <c r="C247">
        <v>15.8001010873237</v>
      </c>
      <c r="D247">
        <v>32.307223981892001</v>
      </c>
      <c r="E247">
        <v>42.801992309134498</v>
      </c>
      <c r="F247">
        <v>0.99062818905761596</v>
      </c>
      <c r="G247">
        <v>93.977655552813303</v>
      </c>
      <c r="H247">
        <v>87.983237747414904</v>
      </c>
      <c r="I247" t="str">
        <f t="shared" si="7"/>
        <v>character</v>
      </c>
      <c r="J247">
        <v>444</v>
      </c>
      <c r="K247">
        <f t="shared" si="6"/>
        <v>93</v>
      </c>
    </row>
    <row r="248" spans="1:11" x14ac:dyDescent="0.2">
      <c r="A248" t="s">
        <v>34</v>
      </c>
      <c r="B248">
        <v>440.810546875</v>
      </c>
      <c r="C248">
        <v>13.7814306918629</v>
      </c>
      <c r="D248">
        <v>32.635341065658203</v>
      </c>
      <c r="E248">
        <v>43.130073557932199</v>
      </c>
      <c r="F248">
        <v>0.99096341653067899</v>
      </c>
      <c r="G248">
        <v>94.623442075734999</v>
      </c>
      <c r="H248">
        <v>88.198538222350606</v>
      </c>
      <c r="I248" t="str">
        <f t="shared" si="7"/>
        <v>character</v>
      </c>
      <c r="J248">
        <v>444</v>
      </c>
      <c r="K248">
        <f t="shared" si="6"/>
        <v>94</v>
      </c>
    </row>
    <row r="249" spans="1:11" x14ac:dyDescent="0.2">
      <c r="A249" t="s">
        <v>35</v>
      </c>
      <c r="B249">
        <v>520.759765625</v>
      </c>
      <c r="C249">
        <v>11.665647772747899</v>
      </c>
      <c r="D249">
        <v>32.928205409271797</v>
      </c>
      <c r="E249">
        <v>43.422772637795198</v>
      </c>
      <c r="F249">
        <v>0.99109874395268405</v>
      </c>
      <c r="G249">
        <v>95.199484772990601</v>
      </c>
      <c r="H249">
        <v>88.2856673191461</v>
      </c>
      <c r="I249" t="str">
        <f t="shared" si="7"/>
        <v>character</v>
      </c>
      <c r="J249">
        <v>444</v>
      </c>
      <c r="K249">
        <f t="shared" si="6"/>
        <v>95</v>
      </c>
    </row>
    <row r="250" spans="1:11" x14ac:dyDescent="0.2">
      <c r="A250" t="s">
        <v>36</v>
      </c>
      <c r="B250">
        <v>648.1611328125</v>
      </c>
      <c r="C250">
        <v>9.3726693756525705</v>
      </c>
      <c r="D250">
        <v>33.465643578767398</v>
      </c>
      <c r="E250">
        <v>43.9682943119833</v>
      </c>
      <c r="F250">
        <v>0.99172916621375895</v>
      </c>
      <c r="G250">
        <v>96.272892664208001</v>
      </c>
      <c r="H250">
        <v>88.693192635614395</v>
      </c>
      <c r="I250" t="str">
        <f t="shared" si="7"/>
        <v>character</v>
      </c>
      <c r="J250">
        <v>444</v>
      </c>
      <c r="K250">
        <f t="shared" si="6"/>
        <v>96</v>
      </c>
    </row>
    <row r="251" spans="1:11" x14ac:dyDescent="0.2">
      <c r="A251" t="s">
        <v>37</v>
      </c>
      <c r="B251">
        <v>752.4697265625</v>
      </c>
      <c r="C251">
        <v>8.0734144983511307</v>
      </c>
      <c r="D251">
        <v>34.353332819160698</v>
      </c>
      <c r="E251">
        <v>44.856065536483598</v>
      </c>
      <c r="F251">
        <v>0.99291108946459306</v>
      </c>
      <c r="G251">
        <v>98.019332614076404</v>
      </c>
      <c r="H251">
        <v>89.4645298432647</v>
      </c>
      <c r="I251" t="str">
        <f t="shared" si="7"/>
        <v>character</v>
      </c>
      <c r="J251">
        <v>444</v>
      </c>
      <c r="K251">
        <f t="shared" si="6"/>
        <v>97</v>
      </c>
    </row>
    <row r="252" spans="1:11" x14ac:dyDescent="0.2">
      <c r="A252" t="s">
        <v>38</v>
      </c>
      <c r="B252">
        <v>989.1728515625</v>
      </c>
      <c r="C252">
        <v>6.1414948766577204</v>
      </c>
      <c r="D252">
        <v>34.918709103952501</v>
      </c>
      <c r="E252">
        <v>45.420821481449501</v>
      </c>
      <c r="F252">
        <v>0.99356532239376705</v>
      </c>
      <c r="G252">
        <v>99.130153056137502</v>
      </c>
      <c r="H252">
        <v>89.895621814923501</v>
      </c>
      <c r="I252" t="str">
        <f t="shared" si="7"/>
        <v>character</v>
      </c>
      <c r="J252">
        <v>444</v>
      </c>
      <c r="K252">
        <f t="shared" si="6"/>
        <v>98</v>
      </c>
    </row>
    <row r="253" spans="1:11" x14ac:dyDescent="0.2">
      <c r="A253" t="s">
        <v>39</v>
      </c>
      <c r="B253">
        <v>1677.1953125</v>
      </c>
      <c r="C253">
        <v>3.62211839892678</v>
      </c>
      <c r="D253">
        <v>34.041782875228897</v>
      </c>
      <c r="E253">
        <v>44.542849079370001</v>
      </c>
      <c r="F253">
        <v>0.99081084221308602</v>
      </c>
      <c r="G253">
        <v>97.403213097216593</v>
      </c>
      <c r="H253">
        <v>88.100453168928198</v>
      </c>
      <c r="I253" t="str">
        <f t="shared" si="7"/>
        <v>character</v>
      </c>
      <c r="J253">
        <v>444</v>
      </c>
      <c r="K253">
        <f t="shared" si="6"/>
        <v>99</v>
      </c>
    </row>
    <row r="254" spans="1:11" x14ac:dyDescent="0.2">
      <c r="A254" t="s">
        <v>40</v>
      </c>
      <c r="B254">
        <v>1890.2099609375</v>
      </c>
      <c r="C254">
        <v>3.2139286775247702</v>
      </c>
      <c r="D254">
        <v>37.455178973020097</v>
      </c>
      <c r="E254">
        <v>47.957920094516503</v>
      </c>
      <c r="F254">
        <v>0.99588405034766203</v>
      </c>
      <c r="G254">
        <v>104.119536561936</v>
      </c>
      <c r="H254">
        <v>91.447554360321604</v>
      </c>
      <c r="I254" t="str">
        <f t="shared" si="7"/>
        <v>character</v>
      </c>
      <c r="J254">
        <v>444</v>
      </c>
      <c r="K254">
        <f t="shared" si="6"/>
        <v>100</v>
      </c>
    </row>
    <row r="255" spans="1:11" x14ac:dyDescent="0.2">
      <c r="A255" t="s">
        <v>41</v>
      </c>
      <c r="B255">
        <v>515.3193359375</v>
      </c>
      <c r="C255">
        <v>11.788806622107399</v>
      </c>
      <c r="D255">
        <v>31.970936867946801</v>
      </c>
      <c r="E255">
        <v>38.911530085749199</v>
      </c>
      <c r="F255">
        <v>0.98998458363126696</v>
      </c>
      <c r="G255">
        <v>86.295269163555204</v>
      </c>
      <c r="H255">
        <v>87.571997707004599</v>
      </c>
      <c r="I255" t="str">
        <f t="shared" si="7"/>
        <v>earth</v>
      </c>
      <c r="J255">
        <v>444</v>
      </c>
      <c r="K255">
        <f t="shared" si="6"/>
        <v>90</v>
      </c>
    </row>
    <row r="256" spans="1:11" x14ac:dyDescent="0.2">
      <c r="A256" t="s">
        <v>42</v>
      </c>
      <c r="B256">
        <v>547.248046875</v>
      </c>
      <c r="C256">
        <v>11.1009989614227</v>
      </c>
      <c r="D256">
        <v>32.372905304591299</v>
      </c>
      <c r="E256">
        <v>39.313390597390899</v>
      </c>
      <c r="F256">
        <v>0.990707108330384</v>
      </c>
      <c r="G256">
        <v>87.0929191695284</v>
      </c>
      <c r="H256">
        <v>88.033855659919894</v>
      </c>
      <c r="I256" t="str">
        <f t="shared" si="7"/>
        <v>earth</v>
      </c>
      <c r="J256">
        <v>444</v>
      </c>
      <c r="K256">
        <f t="shared" si="6"/>
        <v>91</v>
      </c>
    </row>
    <row r="257" spans="1:11" x14ac:dyDescent="0.2">
      <c r="A257" t="s">
        <v>43</v>
      </c>
      <c r="B257">
        <v>584.052734375</v>
      </c>
      <c r="C257">
        <v>10.401458023308299</v>
      </c>
      <c r="D257">
        <v>32.751902216844599</v>
      </c>
      <c r="E257">
        <v>39.691895729547802</v>
      </c>
      <c r="F257">
        <v>0.99124473804884905</v>
      </c>
      <c r="G257">
        <v>87.842810409925306</v>
      </c>
      <c r="H257">
        <v>88.379802884321606</v>
      </c>
      <c r="I257" t="str">
        <f t="shared" si="7"/>
        <v>earth</v>
      </c>
      <c r="J257">
        <v>444</v>
      </c>
      <c r="K257">
        <f t="shared" si="6"/>
        <v>92</v>
      </c>
    </row>
    <row r="258" spans="1:11" x14ac:dyDescent="0.2">
      <c r="A258" t="s">
        <v>44</v>
      </c>
      <c r="B258">
        <v>634.9267578125</v>
      </c>
      <c r="C258">
        <v>9.5680327301531207</v>
      </c>
      <c r="D258">
        <v>33.383733453415999</v>
      </c>
      <c r="E258">
        <v>40.319325673517</v>
      </c>
      <c r="F258">
        <v>0.99218496820721402</v>
      </c>
      <c r="G258">
        <v>89.083569258279496</v>
      </c>
      <c r="H258">
        <v>88.989521618375406</v>
      </c>
      <c r="I258" t="str">
        <f t="shared" si="7"/>
        <v>earth</v>
      </c>
      <c r="J258">
        <v>444</v>
      </c>
      <c r="K258">
        <f t="shared" ref="K258:K321" si="8">(MID(A258,FIND("gimp",A258)+4,FIND(".",A258)-FIND("gimp",A258)-4))+0</f>
        <v>93</v>
      </c>
    </row>
    <row r="259" spans="1:11" x14ac:dyDescent="0.2">
      <c r="A259" t="s">
        <v>45</v>
      </c>
      <c r="B259">
        <v>702.5146484375</v>
      </c>
      <c r="C259">
        <v>8.6475065160729798</v>
      </c>
      <c r="D259">
        <v>34.028876726403801</v>
      </c>
      <c r="E259">
        <v>40.964196992438602</v>
      </c>
      <c r="F259">
        <v>0.99302714918231905</v>
      </c>
      <c r="G259">
        <v>90.356622393563498</v>
      </c>
      <c r="H259">
        <v>89.540788952772303</v>
      </c>
      <c r="I259" t="str">
        <f t="shared" ref="I259:I322" si="9">LEFT(A259,FIND("/",A259)-1)</f>
        <v>earth</v>
      </c>
      <c r="J259">
        <v>444</v>
      </c>
      <c r="K259">
        <f t="shared" si="8"/>
        <v>94</v>
      </c>
    </row>
    <row r="260" spans="1:11" x14ac:dyDescent="0.2">
      <c r="A260" t="s">
        <v>46</v>
      </c>
      <c r="B260">
        <v>806.78515625</v>
      </c>
      <c r="C260">
        <v>7.5298856863419097</v>
      </c>
      <c r="D260">
        <v>34.669360006644503</v>
      </c>
      <c r="E260">
        <v>41.603846486570902</v>
      </c>
      <c r="F260">
        <v>0.99369978986263996</v>
      </c>
      <c r="G260">
        <v>91.617835413689804</v>
      </c>
      <c r="H260">
        <v>89.984593416524106</v>
      </c>
      <c r="I260" t="str">
        <f t="shared" si="9"/>
        <v>earth</v>
      </c>
      <c r="J260">
        <v>444</v>
      </c>
      <c r="K260">
        <f t="shared" si="8"/>
        <v>95</v>
      </c>
    </row>
    <row r="261" spans="1:11" x14ac:dyDescent="0.2">
      <c r="A261" t="s">
        <v>47</v>
      </c>
      <c r="B261">
        <v>938.8896484375</v>
      </c>
      <c r="C261">
        <v>6.4704089667087201</v>
      </c>
      <c r="D261">
        <v>35.539335822857403</v>
      </c>
      <c r="E261">
        <v>42.4778665907115</v>
      </c>
      <c r="F261">
        <v>0.994664585390588</v>
      </c>
      <c r="G261">
        <v>93.339517863457701</v>
      </c>
      <c r="H261">
        <v>90.626654856783702</v>
      </c>
      <c r="I261" t="str">
        <f t="shared" si="9"/>
        <v>earth</v>
      </c>
      <c r="J261">
        <v>444</v>
      </c>
      <c r="K261">
        <f t="shared" si="8"/>
        <v>96</v>
      </c>
    </row>
    <row r="262" spans="1:11" x14ac:dyDescent="0.2">
      <c r="A262" t="s">
        <v>48</v>
      </c>
      <c r="B262">
        <v>1050.521484375</v>
      </c>
      <c r="C262">
        <v>5.7828422267958404</v>
      </c>
      <c r="D262">
        <v>36.890138074477697</v>
      </c>
      <c r="E262">
        <v>43.828513284507501</v>
      </c>
      <c r="F262">
        <v>0.99593673815192996</v>
      </c>
      <c r="G262">
        <v>95.997870977960403</v>
      </c>
      <c r="H262">
        <v>91.4832592171567</v>
      </c>
      <c r="I262" t="str">
        <f t="shared" si="9"/>
        <v>earth</v>
      </c>
      <c r="J262">
        <v>444</v>
      </c>
      <c r="K262">
        <f t="shared" si="8"/>
        <v>97</v>
      </c>
    </row>
    <row r="263" spans="1:11" x14ac:dyDescent="0.2">
      <c r="A263" t="s">
        <v>49</v>
      </c>
      <c r="B263">
        <v>1333.9677734375</v>
      </c>
      <c r="C263">
        <v>4.5540830303159003</v>
      </c>
      <c r="D263">
        <v>37.633918606617797</v>
      </c>
      <c r="E263">
        <v>44.571528685071399</v>
      </c>
      <c r="F263">
        <v>0.99628350422302103</v>
      </c>
      <c r="G263">
        <v>97.459629803012803</v>
      </c>
      <c r="H263">
        <v>91.718744880381607</v>
      </c>
      <c r="I263" t="str">
        <f t="shared" si="9"/>
        <v>earth</v>
      </c>
      <c r="J263">
        <v>444</v>
      </c>
      <c r="K263">
        <f t="shared" si="8"/>
        <v>98</v>
      </c>
    </row>
    <row r="264" spans="1:11" x14ac:dyDescent="0.2">
      <c r="A264" t="s">
        <v>50</v>
      </c>
      <c r="B264">
        <v>1888.60546875</v>
      </c>
      <c r="C264">
        <v>3.2166591172802401</v>
      </c>
      <c r="D264">
        <v>38.254221736555799</v>
      </c>
      <c r="E264">
        <v>45.191477011676803</v>
      </c>
      <c r="F264">
        <v>0.99634486167049596</v>
      </c>
      <c r="G264">
        <v>98.679067677604294</v>
      </c>
      <c r="H264">
        <v>91.760501480573097</v>
      </c>
      <c r="I264" t="str">
        <f t="shared" si="9"/>
        <v>earth</v>
      </c>
      <c r="J264">
        <v>444</v>
      </c>
      <c r="K264">
        <f t="shared" si="8"/>
        <v>99</v>
      </c>
    </row>
    <row r="265" spans="1:11" x14ac:dyDescent="0.2">
      <c r="A265" t="s">
        <v>51</v>
      </c>
      <c r="B265">
        <v>2153.26953125</v>
      </c>
      <c r="C265">
        <v>2.8212910236431901</v>
      </c>
      <c r="D265">
        <v>41.672688227939297</v>
      </c>
      <c r="E265">
        <v>48.609542310757298</v>
      </c>
      <c r="F265">
        <v>0.99849433258208597</v>
      </c>
      <c r="G265">
        <v>105.40088697506999</v>
      </c>
      <c r="H265">
        <v>93.240419340814199</v>
      </c>
      <c r="I265" t="str">
        <f t="shared" si="9"/>
        <v>earth</v>
      </c>
      <c r="J265">
        <v>444</v>
      </c>
      <c r="K265">
        <f t="shared" si="8"/>
        <v>100</v>
      </c>
    </row>
    <row r="266" spans="1:11" x14ac:dyDescent="0.2">
      <c r="A266" t="s">
        <v>52</v>
      </c>
      <c r="B266">
        <v>279.693359375</v>
      </c>
      <c r="C266">
        <v>21.720215358616802</v>
      </c>
      <c r="D266">
        <v>36.785537704079303</v>
      </c>
      <c r="E266">
        <v>42.723002508721201</v>
      </c>
      <c r="F266">
        <v>0.98731485982745204</v>
      </c>
      <c r="G266">
        <v>93.822154224319405</v>
      </c>
      <c r="H266">
        <v>85.895484724291904</v>
      </c>
      <c r="I266" t="str">
        <f t="shared" si="9"/>
        <v>flower</v>
      </c>
      <c r="J266">
        <v>444</v>
      </c>
      <c r="K266">
        <f t="shared" si="8"/>
        <v>90</v>
      </c>
    </row>
    <row r="267" spans="1:11" x14ac:dyDescent="0.2">
      <c r="A267" t="s">
        <v>53</v>
      </c>
      <c r="B267">
        <v>308.8095703125</v>
      </c>
      <c r="C267">
        <v>19.6723177777567</v>
      </c>
      <c r="D267">
        <v>36.944885311699601</v>
      </c>
      <c r="E267">
        <v>42.882481299906203</v>
      </c>
      <c r="F267">
        <v>0.98778582696254102</v>
      </c>
      <c r="G267">
        <v>94.136099917482099</v>
      </c>
      <c r="H267">
        <v>86.187838544146402</v>
      </c>
      <c r="I267" t="str">
        <f t="shared" si="9"/>
        <v>flower</v>
      </c>
      <c r="J267">
        <v>444</v>
      </c>
      <c r="K267">
        <f t="shared" si="8"/>
        <v>91</v>
      </c>
    </row>
    <row r="268" spans="1:11" x14ac:dyDescent="0.2">
      <c r="A268" t="s">
        <v>54</v>
      </c>
      <c r="B268">
        <v>325.2685546875</v>
      </c>
      <c r="C268">
        <v>18.6768745777978</v>
      </c>
      <c r="D268">
        <v>36.990776673852601</v>
      </c>
      <c r="E268">
        <v>42.928349956825798</v>
      </c>
      <c r="F268">
        <v>0.98787131107194204</v>
      </c>
      <c r="G268">
        <v>94.226389778925693</v>
      </c>
      <c r="H268">
        <v>86.241058019199002</v>
      </c>
      <c r="I268" t="str">
        <f t="shared" si="9"/>
        <v>flower</v>
      </c>
      <c r="J268">
        <v>444</v>
      </c>
      <c r="K268">
        <f t="shared" si="8"/>
        <v>92</v>
      </c>
    </row>
    <row r="269" spans="1:11" x14ac:dyDescent="0.2">
      <c r="A269" t="s">
        <v>55</v>
      </c>
      <c r="B269">
        <v>371.392578125</v>
      </c>
      <c r="C269">
        <v>16.357354340978102</v>
      </c>
      <c r="D269">
        <v>37.253112194030898</v>
      </c>
      <c r="E269">
        <v>43.183726699078697</v>
      </c>
      <c r="F269">
        <v>0.98832272108670804</v>
      </c>
      <c r="G269">
        <v>94.729039910737995</v>
      </c>
      <c r="H269">
        <v>86.522883163903998</v>
      </c>
      <c r="I269" t="str">
        <f t="shared" si="9"/>
        <v>flower</v>
      </c>
      <c r="J269">
        <v>444</v>
      </c>
      <c r="K269">
        <f t="shared" si="8"/>
        <v>93</v>
      </c>
    </row>
    <row r="270" spans="1:11" x14ac:dyDescent="0.2">
      <c r="A270" t="s">
        <v>56</v>
      </c>
      <c r="B270">
        <v>434.8291015625</v>
      </c>
      <c r="C270">
        <v>13.9710060301169</v>
      </c>
      <c r="D270">
        <v>37.440186829833799</v>
      </c>
      <c r="E270">
        <v>43.3705271074599</v>
      </c>
      <c r="F270">
        <v>0.98873082793102796</v>
      </c>
      <c r="G270">
        <v>95.096669723546</v>
      </c>
      <c r="H270">
        <v>86.778824411626601</v>
      </c>
      <c r="I270" t="str">
        <f t="shared" si="9"/>
        <v>flower</v>
      </c>
      <c r="J270">
        <v>444</v>
      </c>
      <c r="K270">
        <f t="shared" si="8"/>
        <v>94</v>
      </c>
    </row>
    <row r="271" spans="1:11" x14ac:dyDescent="0.2">
      <c r="A271" t="s">
        <v>57</v>
      </c>
      <c r="B271">
        <v>519.3544921875</v>
      </c>
      <c r="C271">
        <v>11.6972127735188</v>
      </c>
      <c r="D271">
        <v>37.5981490129317</v>
      </c>
      <c r="E271">
        <v>43.528282756344801</v>
      </c>
      <c r="F271">
        <v>0.98903181327782996</v>
      </c>
      <c r="G271">
        <v>95.407112804921994</v>
      </c>
      <c r="H271">
        <v>86.968288523036605</v>
      </c>
      <c r="I271" t="str">
        <f t="shared" si="9"/>
        <v>flower</v>
      </c>
      <c r="J271">
        <v>444</v>
      </c>
      <c r="K271">
        <f t="shared" si="8"/>
        <v>95</v>
      </c>
    </row>
    <row r="272" spans="1:11" x14ac:dyDescent="0.2">
      <c r="A272" t="s">
        <v>58</v>
      </c>
      <c r="B272">
        <v>658.48046875</v>
      </c>
      <c r="C272">
        <v>9.22578616725297</v>
      </c>
      <c r="D272">
        <v>38.052849866014597</v>
      </c>
      <c r="E272">
        <v>43.989701177540397</v>
      </c>
      <c r="F272">
        <v>0.99029963861859505</v>
      </c>
      <c r="G272">
        <v>96.315009881167995</v>
      </c>
      <c r="H272">
        <v>87.772959193836897</v>
      </c>
      <c r="I272" t="str">
        <f t="shared" si="9"/>
        <v>flower</v>
      </c>
      <c r="J272">
        <v>444</v>
      </c>
      <c r="K272">
        <f t="shared" si="8"/>
        <v>96</v>
      </c>
    </row>
    <row r="273" spans="1:11" x14ac:dyDescent="0.2">
      <c r="A273" t="s">
        <v>59</v>
      </c>
      <c r="B273">
        <v>758.2109375</v>
      </c>
      <c r="C273">
        <v>8.0122822021411402</v>
      </c>
      <c r="D273">
        <v>38.995276599308802</v>
      </c>
      <c r="E273">
        <v>44.932409607700997</v>
      </c>
      <c r="F273">
        <v>0.99227547931076099</v>
      </c>
      <c r="G273">
        <v>98.169500686660896</v>
      </c>
      <c r="H273">
        <v>89.0485341602907</v>
      </c>
      <c r="I273" t="str">
        <f t="shared" si="9"/>
        <v>flower</v>
      </c>
      <c r="J273">
        <v>444</v>
      </c>
      <c r="K273">
        <f t="shared" si="8"/>
        <v>97</v>
      </c>
    </row>
    <row r="274" spans="1:11" x14ac:dyDescent="0.2">
      <c r="A274" t="s">
        <v>60</v>
      </c>
      <c r="B274">
        <v>930.44921875</v>
      </c>
      <c r="C274">
        <v>6.5291043052960802</v>
      </c>
      <c r="D274">
        <v>39.981094787945402</v>
      </c>
      <c r="E274">
        <v>45.918032973923403</v>
      </c>
      <c r="F274">
        <v>0.99389024607401499</v>
      </c>
      <c r="G274">
        <v>100.108041551771</v>
      </c>
      <c r="H274">
        <v>90.110825535983395</v>
      </c>
      <c r="I274" t="str">
        <f t="shared" si="9"/>
        <v>flower</v>
      </c>
      <c r="J274">
        <v>444</v>
      </c>
      <c r="K274">
        <f t="shared" si="8"/>
        <v>98</v>
      </c>
    </row>
    <row r="275" spans="1:11" x14ac:dyDescent="0.2">
      <c r="A275" t="s">
        <v>61</v>
      </c>
      <c r="B275">
        <v>1569.3857421875</v>
      </c>
      <c r="C275">
        <v>3.8709412457974302</v>
      </c>
      <c r="D275">
        <v>38.880817842603697</v>
      </c>
      <c r="E275">
        <v>44.816849615646902</v>
      </c>
      <c r="F275">
        <v>0.99136258059208504</v>
      </c>
      <c r="G275">
        <v>97.942194360815606</v>
      </c>
      <c r="H275">
        <v>88.455891858484193</v>
      </c>
      <c r="I275" t="str">
        <f t="shared" si="9"/>
        <v>flower</v>
      </c>
      <c r="J275">
        <v>444</v>
      </c>
      <c r="K275">
        <f t="shared" si="8"/>
        <v>99</v>
      </c>
    </row>
    <row r="276" spans="1:11" x14ac:dyDescent="0.2">
      <c r="A276" t="s">
        <v>62</v>
      </c>
      <c r="B276">
        <v>1713.1943359375</v>
      </c>
      <c r="C276">
        <v>3.5460075209013699</v>
      </c>
      <c r="D276">
        <v>42.036774251204299</v>
      </c>
      <c r="E276">
        <v>47.973907214940702</v>
      </c>
      <c r="F276">
        <v>0.99625091942260502</v>
      </c>
      <c r="G276">
        <v>104.15097395610201</v>
      </c>
      <c r="H276">
        <v>91.696580336877105</v>
      </c>
      <c r="I276" t="str">
        <f t="shared" si="9"/>
        <v>flower</v>
      </c>
      <c r="J276">
        <v>444</v>
      </c>
      <c r="K276">
        <f t="shared" si="8"/>
        <v>100</v>
      </c>
    </row>
    <row r="277" spans="1:11" x14ac:dyDescent="0.2">
      <c r="A277" t="s">
        <v>63</v>
      </c>
      <c r="B277">
        <v>524.6181640625</v>
      </c>
      <c r="C277">
        <v>11.5798506726432</v>
      </c>
      <c r="D277">
        <v>36.263460077836598</v>
      </c>
      <c r="E277">
        <v>45.070371470622199</v>
      </c>
      <c r="F277">
        <v>0.99706091757904403</v>
      </c>
      <c r="G277">
        <v>98.440864752918799</v>
      </c>
      <c r="H277">
        <v>92.249804279692199</v>
      </c>
      <c r="I277" t="str">
        <f t="shared" si="9"/>
        <v>pcgame</v>
      </c>
      <c r="J277">
        <v>444</v>
      </c>
      <c r="K277">
        <f t="shared" si="8"/>
        <v>90</v>
      </c>
    </row>
    <row r="278" spans="1:11" x14ac:dyDescent="0.2">
      <c r="A278" t="s">
        <v>64</v>
      </c>
      <c r="B278">
        <v>540.6513671875</v>
      </c>
      <c r="C278">
        <v>11.236446199336401</v>
      </c>
      <c r="D278">
        <v>37.001272415123402</v>
      </c>
      <c r="E278">
        <v>45.808490728024701</v>
      </c>
      <c r="F278">
        <v>0.99721858828841103</v>
      </c>
      <c r="G278">
        <v>99.892605066386906</v>
      </c>
      <c r="H278">
        <v>92.358040406986007</v>
      </c>
      <c r="I278" t="str">
        <f t="shared" si="9"/>
        <v>pcgame</v>
      </c>
      <c r="J278">
        <v>444</v>
      </c>
      <c r="K278">
        <f t="shared" si="8"/>
        <v>91</v>
      </c>
    </row>
    <row r="279" spans="1:11" x14ac:dyDescent="0.2">
      <c r="A279" t="s">
        <v>65</v>
      </c>
      <c r="B279">
        <v>564.3388671875</v>
      </c>
      <c r="C279">
        <v>10.764808793475501</v>
      </c>
      <c r="D279">
        <v>37.591335561043998</v>
      </c>
      <c r="E279">
        <v>46.398221298238397</v>
      </c>
      <c r="F279">
        <v>0.997314891533717</v>
      </c>
      <c r="G279">
        <v>101.052397785594</v>
      </c>
      <c r="H279">
        <v>92.424237814419001</v>
      </c>
      <c r="I279" t="str">
        <f t="shared" si="9"/>
        <v>pcgame</v>
      </c>
      <c r="J279">
        <v>444</v>
      </c>
      <c r="K279">
        <f t="shared" si="8"/>
        <v>92</v>
      </c>
    </row>
    <row r="280" spans="1:11" x14ac:dyDescent="0.2">
      <c r="A280" t="s">
        <v>66</v>
      </c>
      <c r="B280">
        <v>603.3779296875</v>
      </c>
      <c r="C280">
        <v>10.0683165576612</v>
      </c>
      <c r="D280">
        <v>38.144768680598801</v>
      </c>
      <c r="E280">
        <v>46.947026295899803</v>
      </c>
      <c r="F280">
        <v>0.99742213784433198</v>
      </c>
      <c r="G280">
        <v>102.131651243595</v>
      </c>
      <c r="H280">
        <v>92.498036114948903</v>
      </c>
      <c r="I280" t="str">
        <f t="shared" si="9"/>
        <v>pcgame</v>
      </c>
      <c r="J280">
        <v>444</v>
      </c>
      <c r="K280">
        <f t="shared" si="8"/>
        <v>93</v>
      </c>
    </row>
    <row r="281" spans="1:11" x14ac:dyDescent="0.2">
      <c r="A281" t="s">
        <v>67</v>
      </c>
      <c r="B281">
        <v>646.705078125</v>
      </c>
      <c r="C281">
        <v>9.3937719147239793</v>
      </c>
      <c r="D281">
        <v>38.484155243985803</v>
      </c>
      <c r="E281">
        <v>47.285794763329903</v>
      </c>
      <c r="F281">
        <v>0.99756445458747001</v>
      </c>
      <c r="G281">
        <v>102.797837764153</v>
      </c>
      <c r="H281">
        <v>92.596095423343499</v>
      </c>
      <c r="I281" t="str">
        <f t="shared" si="9"/>
        <v>pcgame</v>
      </c>
      <c r="J281">
        <v>444</v>
      </c>
      <c r="K281">
        <f t="shared" si="8"/>
        <v>94</v>
      </c>
    </row>
    <row r="282" spans="1:11" x14ac:dyDescent="0.2">
      <c r="A282" t="s">
        <v>68</v>
      </c>
      <c r="B282">
        <v>687.4580078125</v>
      </c>
      <c r="C282">
        <v>8.8369033904059506</v>
      </c>
      <c r="D282">
        <v>39.126940342105001</v>
      </c>
      <c r="E282">
        <v>47.928219717410798</v>
      </c>
      <c r="F282">
        <v>0.99761823431483698</v>
      </c>
      <c r="G282">
        <v>104.061133098132</v>
      </c>
      <c r="H282">
        <v>92.633188968299507</v>
      </c>
      <c r="I282" t="str">
        <f t="shared" si="9"/>
        <v>pcgame</v>
      </c>
      <c r="J282">
        <v>444</v>
      </c>
      <c r="K282">
        <f t="shared" si="8"/>
        <v>95</v>
      </c>
    </row>
    <row r="283" spans="1:11" x14ac:dyDescent="0.2">
      <c r="A283" t="s">
        <v>69</v>
      </c>
      <c r="B283">
        <v>754.88671875</v>
      </c>
      <c r="C283">
        <v>8.0475650837511807</v>
      </c>
      <c r="D283">
        <v>39.581394345424599</v>
      </c>
      <c r="E283">
        <v>48.386641369999097</v>
      </c>
      <c r="F283">
        <v>0.99780878291084696</v>
      </c>
      <c r="G283">
        <v>104.962577080119</v>
      </c>
      <c r="H283">
        <v>92.764784893946199</v>
      </c>
      <c r="I283" t="str">
        <f t="shared" si="9"/>
        <v>pcgame</v>
      </c>
      <c r="J283">
        <v>444</v>
      </c>
      <c r="K283">
        <f t="shared" si="8"/>
        <v>96</v>
      </c>
    </row>
    <row r="284" spans="1:11" x14ac:dyDescent="0.2">
      <c r="A284" t="s">
        <v>70</v>
      </c>
      <c r="B284">
        <v>815.525390625</v>
      </c>
      <c r="C284">
        <v>7.4491856045637803</v>
      </c>
      <c r="D284">
        <v>40.317365267592002</v>
      </c>
      <c r="E284">
        <v>49.122284103661997</v>
      </c>
      <c r="F284">
        <v>0.99798180092778399</v>
      </c>
      <c r="G284">
        <v>106.409128159373</v>
      </c>
      <c r="H284">
        <v>92.884502123196896</v>
      </c>
      <c r="I284" t="str">
        <f t="shared" si="9"/>
        <v>pcgame</v>
      </c>
      <c r="J284">
        <v>444</v>
      </c>
      <c r="K284">
        <f t="shared" si="8"/>
        <v>97</v>
      </c>
    </row>
    <row r="285" spans="1:11" x14ac:dyDescent="0.2">
      <c r="A285" t="s">
        <v>71</v>
      </c>
      <c r="B285">
        <v>910.1474609375</v>
      </c>
      <c r="C285">
        <v>6.6747425672565504</v>
      </c>
      <c r="D285">
        <v>39.974028802650501</v>
      </c>
      <c r="E285">
        <v>48.777440659531102</v>
      </c>
      <c r="F285">
        <v>0.99770196927099897</v>
      </c>
      <c r="G285">
        <v>105.731038820893</v>
      </c>
      <c r="H285">
        <v>92.690985260295705</v>
      </c>
      <c r="I285" t="str">
        <f t="shared" si="9"/>
        <v>pcgame</v>
      </c>
      <c r="J285">
        <v>444</v>
      </c>
      <c r="K285">
        <f t="shared" si="8"/>
        <v>98</v>
      </c>
    </row>
    <row r="286" spans="1:11" x14ac:dyDescent="0.2">
      <c r="A286" t="s">
        <v>72</v>
      </c>
      <c r="B286">
        <v>1180.8173828125</v>
      </c>
      <c r="C286">
        <v>5.1447413363194396</v>
      </c>
      <c r="D286">
        <v>39.564311685847798</v>
      </c>
      <c r="E286">
        <v>48.367361763322101</v>
      </c>
      <c r="F286">
        <v>0.99748098530756102</v>
      </c>
      <c r="G286">
        <v>104.92466575815899</v>
      </c>
      <c r="H286">
        <v>92.5385655263199</v>
      </c>
      <c r="I286" t="str">
        <f t="shared" si="9"/>
        <v>pcgame</v>
      </c>
      <c r="J286">
        <v>444</v>
      </c>
      <c r="K286">
        <f t="shared" si="8"/>
        <v>99</v>
      </c>
    </row>
    <row r="287" spans="1:11" x14ac:dyDescent="0.2">
      <c r="A287" t="s">
        <v>73</v>
      </c>
      <c r="B287">
        <v>1255.5263671875</v>
      </c>
      <c r="C287">
        <v>4.8386080601465897</v>
      </c>
      <c r="D287">
        <v>41.5461296298311</v>
      </c>
      <c r="E287">
        <v>50.349548258054703</v>
      </c>
      <c r="F287">
        <v>0.99815443116887403</v>
      </c>
      <c r="G287">
        <v>108.822352525147</v>
      </c>
      <c r="H287">
        <v>93.004167912945604</v>
      </c>
      <c r="I287" t="str">
        <f t="shared" si="9"/>
        <v>pcgame</v>
      </c>
      <c r="J287">
        <v>444</v>
      </c>
      <c r="K287">
        <f t="shared" si="8"/>
        <v>100</v>
      </c>
    </row>
    <row r="288" spans="1:11" x14ac:dyDescent="0.2">
      <c r="A288" t="s">
        <v>74</v>
      </c>
      <c r="B288">
        <v>548.416015625</v>
      </c>
      <c r="C288">
        <v>11.077357018971499</v>
      </c>
      <c r="D288">
        <v>38.319333081304997</v>
      </c>
      <c r="E288">
        <v>40.447423463189502</v>
      </c>
      <c r="F288">
        <v>0.98875904612861198</v>
      </c>
      <c r="G288">
        <v>89.336602024669105</v>
      </c>
      <c r="H288">
        <v>86.796561784905194</v>
      </c>
      <c r="I288" t="str">
        <f t="shared" si="9"/>
        <v>pc_desktop</v>
      </c>
      <c r="J288">
        <v>444</v>
      </c>
      <c r="K288">
        <f t="shared" si="8"/>
        <v>90</v>
      </c>
    </row>
    <row r="289" spans="1:11" x14ac:dyDescent="0.2">
      <c r="A289" t="s">
        <v>75</v>
      </c>
      <c r="B289">
        <v>571.1630859375</v>
      </c>
      <c r="C289">
        <v>10.636191570448901</v>
      </c>
      <c r="D289">
        <v>38.926615894764502</v>
      </c>
      <c r="E289">
        <v>41.053847032534897</v>
      </c>
      <c r="F289">
        <v>0.99000749348273398</v>
      </c>
      <c r="G289">
        <v>90.533466974210299</v>
      </c>
      <c r="H289">
        <v>87.586588635304693</v>
      </c>
      <c r="I289" t="str">
        <f t="shared" si="9"/>
        <v>pc_desktop</v>
      </c>
      <c r="J289">
        <v>444</v>
      </c>
      <c r="K289">
        <f t="shared" si="8"/>
        <v>91</v>
      </c>
    </row>
    <row r="290" spans="1:11" x14ac:dyDescent="0.2">
      <c r="A290" t="s">
        <v>76</v>
      </c>
      <c r="B290">
        <v>598.3779296875</v>
      </c>
      <c r="C290">
        <v>10.1524466371489</v>
      </c>
      <c r="D290">
        <v>39.612484698593597</v>
      </c>
      <c r="E290">
        <v>41.738603486613201</v>
      </c>
      <c r="F290">
        <v>0.99071471441060799</v>
      </c>
      <c r="G290">
        <v>91.883391491589293</v>
      </c>
      <c r="H290">
        <v>88.038736327154794</v>
      </c>
      <c r="I290" t="str">
        <f t="shared" si="9"/>
        <v>pc_desktop</v>
      </c>
      <c r="J290">
        <v>444</v>
      </c>
      <c r="K290">
        <f t="shared" si="8"/>
        <v>92</v>
      </c>
    </row>
    <row r="291" spans="1:11" x14ac:dyDescent="0.2">
      <c r="A291" t="s">
        <v>77</v>
      </c>
      <c r="B291">
        <v>636.7802734375</v>
      </c>
      <c r="C291">
        <v>9.5401824670315598</v>
      </c>
      <c r="D291">
        <v>40.565991527094504</v>
      </c>
      <c r="E291">
        <v>42.689488509059501</v>
      </c>
      <c r="F291">
        <v>0.99220725042803903</v>
      </c>
      <c r="G291">
        <v>93.756175181705501</v>
      </c>
      <c r="H291">
        <v>89.004044253875705</v>
      </c>
      <c r="I291" t="str">
        <f t="shared" si="9"/>
        <v>pc_desktop</v>
      </c>
      <c r="J291">
        <v>444</v>
      </c>
      <c r="K291">
        <f t="shared" si="8"/>
        <v>93</v>
      </c>
    </row>
    <row r="292" spans="1:11" x14ac:dyDescent="0.2">
      <c r="A292" t="s">
        <v>78</v>
      </c>
      <c r="B292">
        <v>684.5126953125</v>
      </c>
      <c r="C292">
        <v>8.8749267056713794</v>
      </c>
      <c r="D292">
        <v>41.522001132670802</v>
      </c>
      <c r="E292">
        <v>43.644204282808801</v>
      </c>
      <c r="F292">
        <v>0.99326323348981904</v>
      </c>
      <c r="G292">
        <v>95.635217950079493</v>
      </c>
      <c r="H292">
        <v>89.696199307356395</v>
      </c>
      <c r="I292" t="str">
        <f t="shared" si="9"/>
        <v>pc_desktop</v>
      </c>
      <c r="J292">
        <v>444</v>
      </c>
      <c r="K292">
        <f t="shared" si="8"/>
        <v>94</v>
      </c>
    </row>
    <row r="293" spans="1:11" x14ac:dyDescent="0.2">
      <c r="A293" t="s">
        <v>79</v>
      </c>
      <c r="B293">
        <v>751.7734375</v>
      </c>
      <c r="C293">
        <v>8.0808920573227905</v>
      </c>
      <c r="D293">
        <v>42.574194066533899</v>
      </c>
      <c r="E293">
        <v>44.695057033562897</v>
      </c>
      <c r="F293">
        <v>0.99411337600894401</v>
      </c>
      <c r="G293">
        <v>97.702622589468206</v>
      </c>
      <c r="H293">
        <v>90.2590347459452</v>
      </c>
      <c r="I293" t="str">
        <f t="shared" si="9"/>
        <v>pc_desktop</v>
      </c>
      <c r="J293">
        <v>444</v>
      </c>
      <c r="K293">
        <f t="shared" si="8"/>
        <v>95</v>
      </c>
    </row>
    <row r="294" spans="1:11" x14ac:dyDescent="0.2">
      <c r="A294" t="s">
        <v>80</v>
      </c>
      <c r="B294">
        <v>833.53515625</v>
      </c>
      <c r="C294">
        <v>7.2882348806148496</v>
      </c>
      <c r="D294">
        <v>43.631219803519599</v>
      </c>
      <c r="E294">
        <v>45.7524092194245</v>
      </c>
      <c r="F294">
        <v>0.99504238325897498</v>
      </c>
      <c r="G294">
        <v>99.782308616727093</v>
      </c>
      <c r="H294">
        <v>90.879852220739195</v>
      </c>
      <c r="I294" t="str">
        <f t="shared" si="9"/>
        <v>pc_desktop</v>
      </c>
      <c r="J294">
        <v>444</v>
      </c>
      <c r="K294">
        <f t="shared" si="8"/>
        <v>96</v>
      </c>
    </row>
    <row r="295" spans="1:11" x14ac:dyDescent="0.2">
      <c r="A295" t="s">
        <v>81</v>
      </c>
      <c r="B295">
        <v>914.078125</v>
      </c>
      <c r="C295">
        <v>6.6460402386283999</v>
      </c>
      <c r="D295">
        <v>45.201218256204299</v>
      </c>
      <c r="E295">
        <v>47.320890266893301</v>
      </c>
      <c r="F295">
        <v>0.99635891676254296</v>
      </c>
      <c r="G295">
        <v>102.86685219792</v>
      </c>
      <c r="H295">
        <v>91.770070411430396</v>
      </c>
      <c r="I295" t="str">
        <f t="shared" si="9"/>
        <v>pc_desktop</v>
      </c>
      <c r="J295">
        <v>444</v>
      </c>
      <c r="K295">
        <f t="shared" si="8"/>
        <v>97</v>
      </c>
    </row>
    <row r="296" spans="1:11" x14ac:dyDescent="0.2">
      <c r="A296" t="s">
        <v>82</v>
      </c>
      <c r="B296">
        <v>1039.783203125</v>
      </c>
      <c r="C296">
        <v>5.8425640861883403</v>
      </c>
      <c r="D296">
        <v>46.336765988978399</v>
      </c>
      <c r="E296">
        <v>48.455134572355902</v>
      </c>
      <c r="F296">
        <v>0.99669318107650096</v>
      </c>
      <c r="G296">
        <v>105.09726160976101</v>
      </c>
      <c r="H296">
        <v>91.998059393254593</v>
      </c>
      <c r="I296" t="str">
        <f t="shared" si="9"/>
        <v>pc_desktop</v>
      </c>
      <c r="J296">
        <v>444</v>
      </c>
      <c r="K296">
        <f t="shared" si="8"/>
        <v>98</v>
      </c>
    </row>
    <row r="297" spans="1:11" x14ac:dyDescent="0.2">
      <c r="A297" t="s">
        <v>83</v>
      </c>
      <c r="B297">
        <v>1317.0361328125</v>
      </c>
      <c r="C297">
        <v>4.61262971352728</v>
      </c>
      <c r="D297">
        <v>47.005480179445797</v>
      </c>
      <c r="E297">
        <v>49.122174458202302</v>
      </c>
      <c r="F297">
        <v>0.99680359441309496</v>
      </c>
      <c r="G297">
        <v>106.408912556693</v>
      </c>
      <c r="H297">
        <v>92.073544053584797</v>
      </c>
      <c r="I297" t="str">
        <f t="shared" si="9"/>
        <v>pc_desktop</v>
      </c>
      <c r="J297">
        <v>444</v>
      </c>
      <c r="K297">
        <f t="shared" si="8"/>
        <v>99</v>
      </c>
    </row>
    <row r="298" spans="1:11" x14ac:dyDescent="0.2">
      <c r="A298" t="s">
        <v>84</v>
      </c>
      <c r="B298">
        <v>1434.474609375</v>
      </c>
      <c r="C298">
        <v>4.2350000204234197</v>
      </c>
      <c r="D298">
        <v>49.671202404193899</v>
      </c>
      <c r="E298">
        <v>51.786699611078902</v>
      </c>
      <c r="F298">
        <v>0.99834519406020705</v>
      </c>
      <c r="G298">
        <v>111.64825353464801</v>
      </c>
      <c r="H298">
        <v>93.136655531335506</v>
      </c>
      <c r="I298" t="str">
        <f t="shared" si="9"/>
        <v>pc_desktop</v>
      </c>
      <c r="J298">
        <v>444</v>
      </c>
      <c r="K298">
        <f t="shared" si="8"/>
        <v>100</v>
      </c>
    </row>
    <row r="299" spans="1:11" x14ac:dyDescent="0.2">
      <c r="A299" t="s">
        <v>85</v>
      </c>
      <c r="B299">
        <v>399.91796875</v>
      </c>
      <c r="C299">
        <v>15.190615262895699</v>
      </c>
      <c r="D299">
        <v>36.4788436662934</v>
      </c>
      <c r="E299">
        <v>41.846967695133699</v>
      </c>
      <c r="F299">
        <v>0.988765389697432</v>
      </c>
      <c r="G299">
        <v>92.096905759520197</v>
      </c>
      <c r="H299">
        <v>86.800549943535302</v>
      </c>
      <c r="I299" t="str">
        <f t="shared" si="9"/>
        <v>shop</v>
      </c>
      <c r="J299">
        <v>444</v>
      </c>
      <c r="K299">
        <f t="shared" si="8"/>
        <v>90</v>
      </c>
    </row>
    <row r="300" spans="1:11" x14ac:dyDescent="0.2">
      <c r="A300" t="s">
        <v>86</v>
      </c>
      <c r="B300">
        <v>426.423828125</v>
      </c>
      <c r="C300">
        <v>14.2463896230002</v>
      </c>
      <c r="D300">
        <v>36.818805208127003</v>
      </c>
      <c r="E300">
        <v>42.187186324638098</v>
      </c>
      <c r="F300">
        <v>0.98942313014046701</v>
      </c>
      <c r="G300">
        <v>92.767088882575294</v>
      </c>
      <c r="H300">
        <v>87.215510722313397</v>
      </c>
      <c r="I300" t="str">
        <f t="shared" si="9"/>
        <v>shop</v>
      </c>
      <c r="J300">
        <v>444</v>
      </c>
      <c r="K300">
        <f t="shared" si="8"/>
        <v>91</v>
      </c>
    </row>
    <row r="301" spans="1:11" x14ac:dyDescent="0.2">
      <c r="A301" t="s">
        <v>87</v>
      </c>
      <c r="B301">
        <v>447.798828125</v>
      </c>
      <c r="C301">
        <v>13.566359754528399</v>
      </c>
      <c r="D301">
        <v>37.110099314219902</v>
      </c>
      <c r="E301">
        <v>42.478499367648297</v>
      </c>
      <c r="F301">
        <v>0.98967713503367805</v>
      </c>
      <c r="G301">
        <v>93.340763822656996</v>
      </c>
      <c r="H301">
        <v>87.376527454453907</v>
      </c>
      <c r="I301" t="str">
        <f t="shared" si="9"/>
        <v>shop</v>
      </c>
      <c r="J301">
        <v>444</v>
      </c>
      <c r="K301">
        <f t="shared" si="8"/>
        <v>92</v>
      </c>
    </row>
    <row r="302" spans="1:11" x14ac:dyDescent="0.2">
      <c r="A302" t="s">
        <v>88</v>
      </c>
      <c r="B302">
        <v>491.7783203125</v>
      </c>
      <c r="C302">
        <v>12.353126905105601</v>
      </c>
      <c r="D302">
        <v>37.6620739438806</v>
      </c>
      <c r="E302">
        <v>43.024790296447797</v>
      </c>
      <c r="F302">
        <v>0.99044730011325599</v>
      </c>
      <c r="G302">
        <v>94.416218953070697</v>
      </c>
      <c r="H302">
        <v>87.8673756860358</v>
      </c>
      <c r="I302" t="str">
        <f t="shared" si="9"/>
        <v>shop</v>
      </c>
      <c r="J302">
        <v>444</v>
      </c>
      <c r="K302">
        <f t="shared" si="8"/>
        <v>93</v>
      </c>
    </row>
    <row r="303" spans="1:11" x14ac:dyDescent="0.2">
      <c r="A303" t="s">
        <v>89</v>
      </c>
      <c r="B303">
        <v>546.4404296875</v>
      </c>
      <c r="C303">
        <v>11.1174057956769</v>
      </c>
      <c r="D303">
        <v>38.126834368005298</v>
      </c>
      <c r="E303">
        <v>43.4895498701581</v>
      </c>
      <c r="F303">
        <v>0.99101260408982095</v>
      </c>
      <c r="G303">
        <v>95.330893453036794</v>
      </c>
      <c r="H303">
        <v>88.230192788321105</v>
      </c>
      <c r="I303" t="str">
        <f t="shared" si="9"/>
        <v>shop</v>
      </c>
      <c r="J303">
        <v>444</v>
      </c>
      <c r="K303">
        <f t="shared" si="8"/>
        <v>94</v>
      </c>
    </row>
    <row r="304" spans="1:11" x14ac:dyDescent="0.2">
      <c r="A304" t="s">
        <v>90</v>
      </c>
      <c r="B304">
        <v>629.279296875</v>
      </c>
      <c r="C304">
        <v>9.6539009469538293</v>
      </c>
      <c r="D304">
        <v>38.52167702789</v>
      </c>
      <c r="E304">
        <v>43.884362330749397</v>
      </c>
      <c r="F304">
        <v>0.99125423397724</v>
      </c>
      <c r="G304">
        <v>96.107756611099404</v>
      </c>
      <c r="H304">
        <v>88.385930762718104</v>
      </c>
      <c r="I304" t="str">
        <f t="shared" si="9"/>
        <v>shop</v>
      </c>
      <c r="J304">
        <v>444</v>
      </c>
      <c r="K304">
        <f t="shared" si="8"/>
        <v>95</v>
      </c>
    </row>
    <row r="305" spans="1:11" x14ac:dyDescent="0.2">
      <c r="A305" t="s">
        <v>91</v>
      </c>
      <c r="B305">
        <v>745.91015625</v>
      </c>
      <c r="C305">
        <v>8.1444124994108495</v>
      </c>
      <c r="D305">
        <v>39.048322913131102</v>
      </c>
      <c r="E305">
        <v>44.416628896494899</v>
      </c>
      <c r="F305">
        <v>0.99202004629471496</v>
      </c>
      <c r="G305">
        <v>97.154915953789001</v>
      </c>
      <c r="H305">
        <v>88.882137817488498</v>
      </c>
      <c r="I305" t="str">
        <f t="shared" si="9"/>
        <v>shop</v>
      </c>
      <c r="J305">
        <v>444</v>
      </c>
      <c r="K305">
        <f t="shared" si="8"/>
        <v>96</v>
      </c>
    </row>
    <row r="306" spans="1:11" x14ac:dyDescent="0.2">
      <c r="A306" t="s">
        <v>92</v>
      </c>
      <c r="B306">
        <v>850.5234375</v>
      </c>
      <c r="C306">
        <v>7.1426603102868604</v>
      </c>
      <c r="D306">
        <v>39.9294275322342</v>
      </c>
      <c r="E306">
        <v>45.297936404799401</v>
      </c>
      <c r="F306">
        <v>0.99331045054460698</v>
      </c>
      <c r="G306">
        <v>98.888459006111205</v>
      </c>
      <c r="H306">
        <v>89.727327740395793</v>
      </c>
      <c r="I306" t="str">
        <f t="shared" si="9"/>
        <v>shop</v>
      </c>
      <c r="J306">
        <v>444</v>
      </c>
      <c r="K306">
        <f t="shared" si="8"/>
        <v>97</v>
      </c>
    </row>
    <row r="307" spans="1:11" x14ac:dyDescent="0.2">
      <c r="A307" t="s">
        <v>93</v>
      </c>
      <c r="B307">
        <v>1060.8779296875</v>
      </c>
      <c r="C307">
        <v>5.7263892762756399</v>
      </c>
      <c r="D307">
        <v>40.351175723736098</v>
      </c>
      <c r="E307">
        <v>45.719561756777502</v>
      </c>
      <c r="F307">
        <v>0.99345868047378105</v>
      </c>
      <c r="G307">
        <v>99.717706606608601</v>
      </c>
      <c r="H307">
        <v>89.825150459728107</v>
      </c>
      <c r="I307" t="str">
        <f t="shared" si="9"/>
        <v>shop</v>
      </c>
      <c r="J307">
        <v>444</v>
      </c>
      <c r="K307">
        <f t="shared" si="8"/>
        <v>98</v>
      </c>
    </row>
    <row r="308" spans="1:11" x14ac:dyDescent="0.2">
      <c r="A308" t="s">
        <v>94</v>
      </c>
      <c r="B308">
        <v>1695.53515625</v>
      </c>
      <c r="C308">
        <v>3.5829395678447802</v>
      </c>
      <c r="D308">
        <v>39.470510726974602</v>
      </c>
      <c r="E308">
        <v>44.838329903645601</v>
      </c>
      <c r="F308">
        <v>0.99030166131334496</v>
      </c>
      <c r="G308">
        <v>97.984446458835507</v>
      </c>
      <c r="H308">
        <v>87.774251540630999</v>
      </c>
      <c r="I308" t="str">
        <f t="shared" si="9"/>
        <v>shop</v>
      </c>
      <c r="J308">
        <v>444</v>
      </c>
      <c r="K308">
        <f t="shared" si="8"/>
        <v>99</v>
      </c>
    </row>
    <row r="309" spans="1:11" x14ac:dyDescent="0.2">
      <c r="A309" t="s">
        <v>95</v>
      </c>
      <c r="B309">
        <v>1871.72265625</v>
      </c>
      <c r="C309">
        <v>3.2456731662217901</v>
      </c>
      <c r="D309">
        <v>42.681205947900402</v>
      </c>
      <c r="E309">
        <v>48.049878640311803</v>
      </c>
      <c r="F309">
        <v>0.99584576483966303</v>
      </c>
      <c r="G309">
        <v>104.30036545518099</v>
      </c>
      <c r="H309">
        <v>91.421621867902303</v>
      </c>
      <c r="I309" t="str">
        <f t="shared" si="9"/>
        <v>shop</v>
      </c>
      <c r="J309">
        <v>444</v>
      </c>
      <c r="K309">
        <f t="shared" si="8"/>
        <v>100</v>
      </c>
    </row>
    <row r="310" spans="1:11" x14ac:dyDescent="0.2">
      <c r="A310" t="s">
        <v>96</v>
      </c>
      <c r="B310">
        <v>594.76171875</v>
      </c>
      <c r="C310">
        <v>10.2141745315548</v>
      </c>
      <c r="D310">
        <v>33.328785687046903</v>
      </c>
      <c r="E310">
        <v>39.678501644686499</v>
      </c>
      <c r="F310">
        <v>0.97812473774213105</v>
      </c>
      <c r="G310">
        <v>87.8162941661665</v>
      </c>
      <c r="H310">
        <v>80.470306181161305</v>
      </c>
      <c r="I310" t="str">
        <f t="shared" si="9"/>
        <v>street</v>
      </c>
      <c r="J310">
        <v>444</v>
      </c>
      <c r="K310">
        <f t="shared" si="8"/>
        <v>90</v>
      </c>
    </row>
    <row r="311" spans="1:11" x14ac:dyDescent="0.2">
      <c r="A311" t="s">
        <v>97</v>
      </c>
      <c r="B311">
        <v>632.9375</v>
      </c>
      <c r="C311">
        <v>9.5981040782067701</v>
      </c>
      <c r="D311">
        <v>33.718879407579003</v>
      </c>
      <c r="E311">
        <v>40.068680994400403</v>
      </c>
      <c r="F311">
        <v>0.97969950607761203</v>
      </c>
      <c r="G311">
        <v>88.588210061913799</v>
      </c>
      <c r="H311">
        <v>81.363242288927495</v>
      </c>
      <c r="I311" t="str">
        <f t="shared" si="9"/>
        <v>street</v>
      </c>
      <c r="J311">
        <v>444</v>
      </c>
      <c r="K311">
        <f t="shared" si="8"/>
        <v>91</v>
      </c>
    </row>
    <row r="312" spans="1:11" x14ac:dyDescent="0.2">
      <c r="A312" t="s">
        <v>98</v>
      </c>
      <c r="B312">
        <v>666.537109375</v>
      </c>
      <c r="C312">
        <v>9.1142712304441993</v>
      </c>
      <c r="D312">
        <v>34.111109370819698</v>
      </c>
      <c r="E312">
        <v>40.460989078745698</v>
      </c>
      <c r="F312">
        <v>0.98090546467284501</v>
      </c>
      <c r="G312">
        <v>89.363393459807298</v>
      </c>
      <c r="H312">
        <v>82.057079366353904</v>
      </c>
      <c r="I312" t="str">
        <f t="shared" si="9"/>
        <v>street</v>
      </c>
      <c r="J312">
        <v>444</v>
      </c>
      <c r="K312">
        <f t="shared" si="8"/>
        <v>92</v>
      </c>
    </row>
    <row r="313" spans="1:11" x14ac:dyDescent="0.2">
      <c r="A313" t="s">
        <v>99</v>
      </c>
      <c r="B313">
        <v>724.728515625</v>
      </c>
      <c r="C313">
        <v>8.3824492468893297</v>
      </c>
      <c r="D313">
        <v>34.715038042305103</v>
      </c>
      <c r="E313">
        <v>41.058122938805802</v>
      </c>
      <c r="F313">
        <v>0.98278379269067695</v>
      </c>
      <c r="G313">
        <v>90.541900955967904</v>
      </c>
      <c r="H313">
        <v>83.155369621221993</v>
      </c>
      <c r="I313" t="str">
        <f t="shared" si="9"/>
        <v>street</v>
      </c>
      <c r="J313">
        <v>444</v>
      </c>
      <c r="K313">
        <f t="shared" si="8"/>
        <v>93</v>
      </c>
    </row>
    <row r="314" spans="1:11" x14ac:dyDescent="0.2">
      <c r="A314" t="s">
        <v>100</v>
      </c>
      <c r="B314">
        <v>797.58203125</v>
      </c>
      <c r="C314">
        <v>7.6167713940082598</v>
      </c>
      <c r="D314">
        <v>35.330306432112202</v>
      </c>
      <c r="E314">
        <v>41.673419934681803</v>
      </c>
      <c r="F314">
        <v>0.98452026108132895</v>
      </c>
      <c r="G314">
        <v>91.754944466614702</v>
      </c>
      <c r="H314">
        <v>84.190125457839301</v>
      </c>
      <c r="I314" t="str">
        <f t="shared" si="9"/>
        <v>street</v>
      </c>
      <c r="J314">
        <v>444</v>
      </c>
      <c r="K314">
        <f t="shared" si="8"/>
        <v>94</v>
      </c>
    </row>
    <row r="315" spans="1:11" x14ac:dyDescent="0.2">
      <c r="A315" t="s">
        <v>101</v>
      </c>
      <c r="B315">
        <v>895.986328125</v>
      </c>
      <c r="C315">
        <v>6.7802373867835097</v>
      </c>
      <c r="D315">
        <v>35.914509426462097</v>
      </c>
      <c r="E315">
        <v>42.257692112757802</v>
      </c>
      <c r="F315">
        <v>0.98581698583161304</v>
      </c>
      <c r="G315">
        <v>92.905947393917003</v>
      </c>
      <c r="H315">
        <v>84.9752186341655</v>
      </c>
      <c r="I315" t="str">
        <f t="shared" si="9"/>
        <v>street</v>
      </c>
      <c r="J315">
        <v>444</v>
      </c>
      <c r="K315">
        <f t="shared" si="8"/>
        <v>95</v>
      </c>
    </row>
    <row r="316" spans="1:11" x14ac:dyDescent="0.2">
      <c r="A316" t="s">
        <v>102</v>
      </c>
      <c r="B316">
        <v>1040.8515625</v>
      </c>
      <c r="C316">
        <v>5.8365671137665203</v>
      </c>
      <c r="D316">
        <v>36.713077918417397</v>
      </c>
      <c r="E316">
        <v>43.062863193533197</v>
      </c>
      <c r="F316">
        <v>0.98787735786525199</v>
      </c>
      <c r="G316">
        <v>94.491157115292907</v>
      </c>
      <c r="H316">
        <v>86.244824352876293</v>
      </c>
      <c r="I316" t="str">
        <f t="shared" si="9"/>
        <v>street</v>
      </c>
      <c r="J316">
        <v>444</v>
      </c>
      <c r="K316">
        <f t="shared" si="8"/>
        <v>96</v>
      </c>
    </row>
    <row r="317" spans="1:11" x14ac:dyDescent="0.2">
      <c r="A317" t="s">
        <v>103</v>
      </c>
      <c r="B317">
        <v>1168.3447265625</v>
      </c>
      <c r="C317">
        <v>5.1996639877631399</v>
      </c>
      <c r="D317">
        <v>37.847158889253599</v>
      </c>
      <c r="E317">
        <v>44.197141682136902</v>
      </c>
      <c r="F317">
        <v>0.99041480370297197</v>
      </c>
      <c r="G317">
        <v>96.723126317546999</v>
      </c>
      <c r="H317">
        <v>87.846584543704495</v>
      </c>
      <c r="I317" t="str">
        <f t="shared" si="9"/>
        <v>street</v>
      </c>
      <c r="J317">
        <v>444</v>
      </c>
      <c r="K317">
        <f t="shared" si="8"/>
        <v>97</v>
      </c>
    </row>
    <row r="318" spans="1:11" x14ac:dyDescent="0.2">
      <c r="A318" t="s">
        <v>104</v>
      </c>
      <c r="B318">
        <v>1421.8310546875</v>
      </c>
      <c r="C318">
        <v>4.2726595258781996</v>
      </c>
      <c r="D318">
        <v>38.541496349929602</v>
      </c>
      <c r="E318">
        <v>44.891366486176402</v>
      </c>
      <c r="F318">
        <v>0.99140108840548302</v>
      </c>
      <c r="G318">
        <v>98.088769536383694</v>
      </c>
      <c r="H318">
        <v>88.480776118461094</v>
      </c>
      <c r="I318" t="str">
        <f t="shared" si="9"/>
        <v>street</v>
      </c>
      <c r="J318">
        <v>444</v>
      </c>
      <c r="K318">
        <f t="shared" si="8"/>
        <v>98</v>
      </c>
    </row>
    <row r="319" spans="1:11" x14ac:dyDescent="0.2">
      <c r="A319" t="s">
        <v>105</v>
      </c>
      <c r="B319">
        <v>2112.49609375</v>
      </c>
      <c r="C319">
        <v>2.8757449625461602</v>
      </c>
      <c r="D319">
        <v>38.096844262335203</v>
      </c>
      <c r="E319">
        <v>44.446355801453997</v>
      </c>
      <c r="F319">
        <v>0.98853008673655895</v>
      </c>
      <c r="G319">
        <v>97.213394686429595</v>
      </c>
      <c r="H319">
        <v>86.6527940920421</v>
      </c>
      <c r="I319" t="str">
        <f t="shared" si="9"/>
        <v>street</v>
      </c>
      <c r="J319">
        <v>444</v>
      </c>
      <c r="K319">
        <f t="shared" si="8"/>
        <v>99</v>
      </c>
    </row>
    <row r="320" spans="1:11" x14ac:dyDescent="0.2">
      <c r="A320" t="s">
        <v>106</v>
      </c>
      <c r="B320">
        <v>2346.103515625</v>
      </c>
      <c r="C320">
        <v>2.5893998110231</v>
      </c>
      <c r="D320">
        <v>41.475593489288698</v>
      </c>
      <c r="E320">
        <v>47.8259818576594</v>
      </c>
      <c r="F320">
        <v>0.99512627280114097</v>
      </c>
      <c r="G320">
        <v>103.86008988203599</v>
      </c>
      <c r="H320">
        <v>90.936210729381401</v>
      </c>
      <c r="I320" t="str">
        <f t="shared" si="9"/>
        <v>street</v>
      </c>
      <c r="J320">
        <v>444</v>
      </c>
      <c r="K320">
        <f t="shared" si="8"/>
        <v>100</v>
      </c>
    </row>
    <row r="321" spans="1:11" x14ac:dyDescent="0.2">
      <c r="A321" t="s">
        <v>107</v>
      </c>
      <c r="B321">
        <v>320.857421875</v>
      </c>
      <c r="C321">
        <v>18.933643374990101</v>
      </c>
      <c r="D321">
        <v>38.421207086070901</v>
      </c>
      <c r="E321">
        <v>43.088563513759901</v>
      </c>
      <c r="F321">
        <v>0.98569899182288501</v>
      </c>
      <c r="G321">
        <v>94.541741652134604</v>
      </c>
      <c r="H321">
        <v>84.903337668983994</v>
      </c>
      <c r="I321" t="str">
        <f t="shared" si="9"/>
        <v>wedding</v>
      </c>
      <c r="J321">
        <v>444</v>
      </c>
      <c r="K321">
        <f t="shared" si="8"/>
        <v>90</v>
      </c>
    </row>
    <row r="322" spans="1:11" x14ac:dyDescent="0.2">
      <c r="A322" t="s">
        <v>108</v>
      </c>
      <c r="B322">
        <v>344.8212890625</v>
      </c>
      <c r="C322">
        <v>17.617821731705501</v>
      </c>
      <c r="D322">
        <v>38.688057092749702</v>
      </c>
      <c r="E322">
        <v>43.355526340398796</v>
      </c>
      <c r="F322">
        <v>0.98651907214836998</v>
      </c>
      <c r="G322">
        <v>95.067148937637995</v>
      </c>
      <c r="H322">
        <v>85.404767785234796</v>
      </c>
      <c r="I322" t="str">
        <f t="shared" si="9"/>
        <v>wedding</v>
      </c>
      <c r="J322">
        <v>444</v>
      </c>
      <c r="K322">
        <f t="shared" ref="K322:K331" si="10">(MID(A322,FIND("gimp",A322)+4,FIND(".",A322)-FIND("gimp",A322)-4))+0</f>
        <v>91</v>
      </c>
    </row>
    <row r="323" spans="1:11" x14ac:dyDescent="0.2">
      <c r="A323" t="s">
        <v>109</v>
      </c>
      <c r="B323">
        <v>363.8056640625</v>
      </c>
      <c r="C323">
        <v>16.6984755876598</v>
      </c>
      <c r="D323">
        <v>38.911614558460002</v>
      </c>
      <c r="E323">
        <v>43.579161184405798</v>
      </c>
      <c r="F323">
        <v>0.98716191221896799</v>
      </c>
      <c r="G323">
        <v>95.507230450815499</v>
      </c>
      <c r="H323">
        <v>85.800852423817801</v>
      </c>
      <c r="I323" t="str">
        <f t="shared" ref="I323:I331" si="11">LEFT(A323,FIND("/",A323)-1)</f>
        <v>wedding</v>
      </c>
      <c r="J323">
        <v>444</v>
      </c>
      <c r="K323">
        <f t="shared" si="10"/>
        <v>92</v>
      </c>
    </row>
    <row r="324" spans="1:11" x14ac:dyDescent="0.2">
      <c r="A324" t="s">
        <v>110</v>
      </c>
      <c r="B324">
        <v>403.7001953125</v>
      </c>
      <c r="C324">
        <v>15.0482959149856</v>
      </c>
      <c r="D324">
        <v>39.403031942197401</v>
      </c>
      <c r="E324">
        <v>44.065102301986499</v>
      </c>
      <c r="F324">
        <v>0.98811403774838502</v>
      </c>
      <c r="G324">
        <v>96.463356428827097</v>
      </c>
      <c r="H324">
        <v>86.392431714836704</v>
      </c>
      <c r="I324" t="str">
        <f t="shared" si="11"/>
        <v>wedding</v>
      </c>
      <c r="J324">
        <v>444</v>
      </c>
      <c r="K324">
        <f t="shared" si="10"/>
        <v>93</v>
      </c>
    </row>
    <row r="325" spans="1:11" x14ac:dyDescent="0.2">
      <c r="A325" t="s">
        <v>111</v>
      </c>
      <c r="B325">
        <v>454.193359375</v>
      </c>
      <c r="C325">
        <v>13.3753606797766</v>
      </c>
      <c r="D325">
        <v>39.783848399052303</v>
      </c>
      <c r="E325">
        <v>44.446233562257198</v>
      </c>
      <c r="F325">
        <v>0.98895875470150796</v>
      </c>
      <c r="G325">
        <v>97.213154218548397</v>
      </c>
      <c r="H325">
        <v>86.922244646247506</v>
      </c>
      <c r="I325" t="str">
        <f t="shared" si="11"/>
        <v>wedding</v>
      </c>
      <c r="J325">
        <v>444</v>
      </c>
      <c r="K325">
        <f t="shared" si="10"/>
        <v>94</v>
      </c>
    </row>
    <row r="326" spans="1:11" x14ac:dyDescent="0.2">
      <c r="A326" t="s">
        <v>112</v>
      </c>
      <c r="B326">
        <v>523.201171875</v>
      </c>
      <c r="C326">
        <v>11.611212525058001</v>
      </c>
      <c r="D326">
        <v>40.070300323644098</v>
      </c>
      <c r="E326">
        <v>44.732920613510501</v>
      </c>
      <c r="F326">
        <v>0.98944630348663798</v>
      </c>
      <c r="G326">
        <v>97.777102721876602</v>
      </c>
      <c r="H326">
        <v>87.230182801041593</v>
      </c>
      <c r="I326" t="str">
        <f t="shared" si="11"/>
        <v>wedding</v>
      </c>
      <c r="J326">
        <v>444</v>
      </c>
      <c r="K326">
        <f t="shared" si="10"/>
        <v>95</v>
      </c>
    </row>
    <row r="327" spans="1:11" x14ac:dyDescent="0.2">
      <c r="A327" t="s">
        <v>113</v>
      </c>
      <c r="B327">
        <v>626.9970703125</v>
      </c>
      <c r="C327">
        <v>9.6890404878162695</v>
      </c>
      <c r="D327">
        <v>40.494471009339698</v>
      </c>
      <c r="E327">
        <v>45.1626026915689</v>
      </c>
      <c r="F327">
        <v>0.99072051182742005</v>
      </c>
      <c r="G327">
        <v>98.622275128429195</v>
      </c>
      <c r="H327">
        <v>88.042456673418201</v>
      </c>
      <c r="I327" t="str">
        <f t="shared" si="11"/>
        <v>wedding</v>
      </c>
      <c r="J327">
        <v>444</v>
      </c>
      <c r="K327">
        <f t="shared" si="10"/>
        <v>96</v>
      </c>
    </row>
    <row r="328" spans="1:11" x14ac:dyDescent="0.2">
      <c r="A328" t="s">
        <v>114</v>
      </c>
      <c r="B328">
        <v>716.7041015625</v>
      </c>
      <c r="C328">
        <v>8.4763014286590206</v>
      </c>
      <c r="D328">
        <v>41.216933935253103</v>
      </c>
      <c r="E328">
        <v>45.885276743864999</v>
      </c>
      <c r="F328">
        <v>0.99216087847242096</v>
      </c>
      <c r="G328">
        <v>100.04362023244499</v>
      </c>
      <c r="H328">
        <v>88.973824739466593</v>
      </c>
      <c r="I328" t="str">
        <f t="shared" si="11"/>
        <v>wedding</v>
      </c>
      <c r="J328">
        <v>444</v>
      </c>
      <c r="K328">
        <f t="shared" si="10"/>
        <v>97</v>
      </c>
    </row>
    <row r="329" spans="1:11" x14ac:dyDescent="0.2">
      <c r="A329" t="s">
        <v>115</v>
      </c>
      <c r="B329">
        <v>893.330078125</v>
      </c>
      <c r="C329">
        <v>6.8003979142298103</v>
      </c>
      <c r="D329">
        <v>41.5404811497447</v>
      </c>
      <c r="E329">
        <v>46.208691282206701</v>
      </c>
      <c r="F329">
        <v>0.99243231461586501</v>
      </c>
      <c r="G329">
        <v>100.67966623290501</v>
      </c>
      <c r="H329">
        <v>89.150922380892794</v>
      </c>
      <c r="I329" t="str">
        <f t="shared" si="11"/>
        <v>wedding</v>
      </c>
      <c r="J329">
        <v>444</v>
      </c>
      <c r="K329">
        <f t="shared" si="10"/>
        <v>98</v>
      </c>
    </row>
    <row r="330" spans="1:11" x14ac:dyDescent="0.2">
      <c r="A330" t="s">
        <v>116</v>
      </c>
      <c r="B330">
        <v>1499.7841796875</v>
      </c>
      <c r="C330">
        <v>4.0505827986969498</v>
      </c>
      <c r="D330">
        <v>40.268618422771397</v>
      </c>
      <c r="E330">
        <v>44.935253513309803</v>
      </c>
      <c r="F330">
        <v>0.98772511937769902</v>
      </c>
      <c r="G330">
        <v>98.175094578392205</v>
      </c>
      <c r="H330">
        <v>86.150073051877399</v>
      </c>
      <c r="I330" t="str">
        <f t="shared" si="11"/>
        <v>wedding</v>
      </c>
      <c r="J330">
        <v>444</v>
      </c>
      <c r="K330">
        <f t="shared" si="10"/>
        <v>99</v>
      </c>
    </row>
    <row r="331" spans="1:11" x14ac:dyDescent="0.2">
      <c r="A331" t="s">
        <v>117</v>
      </c>
      <c r="B331">
        <v>1641.9482421875</v>
      </c>
      <c r="C331">
        <v>3.69987301908282</v>
      </c>
      <c r="D331">
        <v>43.241581620152502</v>
      </c>
      <c r="E331">
        <v>47.9095716701245</v>
      </c>
      <c r="F331">
        <v>0.99462464912484105</v>
      </c>
      <c r="G331">
        <v>104.024463143259</v>
      </c>
      <c r="H331">
        <v>90.599948492483193</v>
      </c>
      <c r="I331" t="str">
        <f t="shared" si="11"/>
        <v>wedding</v>
      </c>
      <c r="J331">
        <v>444</v>
      </c>
      <c r="K331">
        <f t="shared" si="10"/>
        <v>100</v>
      </c>
    </row>
  </sheetData>
  <autoFilter ref="A1:K331"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L31" workbookViewId="0">
      <selection activeCell="U43" sqref="U43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88"/>
  <sheetViews>
    <sheetView zoomScale="85" zoomScaleNormal="85" workbookViewId="0">
      <pane ySplit="1" topLeftCell="A2" activePane="bottomLeft" state="frozen"/>
      <selection pane="bottomLeft" activeCell="J83" sqref="J83"/>
    </sheetView>
  </sheetViews>
  <sheetFormatPr defaultRowHeight="14.25" x14ac:dyDescent="0.2"/>
  <cols>
    <col min="1" max="1" width="16.625" customWidth="1"/>
    <col min="2" max="2" width="16.5" bestFit="1" customWidth="1"/>
    <col min="3" max="5" width="17.625" bestFit="1" customWidth="1"/>
    <col min="6" max="6" width="18.75" bestFit="1" customWidth="1"/>
    <col min="7" max="8" width="17.625" bestFit="1" customWidth="1"/>
  </cols>
  <sheetData>
    <row r="1" spans="1:13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118</v>
      </c>
      <c r="J1" s="3" t="s">
        <v>155</v>
      </c>
      <c r="K1" t="s">
        <v>119</v>
      </c>
      <c r="L1" t="s">
        <v>120</v>
      </c>
      <c r="M1" t="s">
        <v>213</v>
      </c>
    </row>
    <row r="2" spans="1:13" x14ac:dyDescent="0.2">
      <c r="A2" s="3" t="s">
        <v>122</v>
      </c>
      <c r="B2">
        <v>608.2158203125</v>
      </c>
      <c r="C2">
        <v>9.9882308172758094</v>
      </c>
      <c r="D2">
        <v>31.3787182634718</v>
      </c>
      <c r="E2">
        <v>38.933721436558599</v>
      </c>
      <c r="F2">
        <v>0.98461811175071101</v>
      </c>
      <c r="G2">
        <v>86.339362600365206</v>
      </c>
      <c r="H2">
        <v>84.248996853208197</v>
      </c>
      <c r="I2" t="str">
        <f>LEFT(A2,FIND(".",A2)-1)</f>
        <v>bar</v>
      </c>
      <c r="J2" t="s">
        <v>156</v>
      </c>
      <c r="K2">
        <v>444</v>
      </c>
      <c r="L2">
        <f t="shared" ref="L2:L34" si="0">((MID(A2,FIND("ppm",A2)+3,FIND(".jpg",A2)-FIND("ppm",A2)-3)))+0</f>
        <v>90</v>
      </c>
    </row>
    <row r="3" spans="1:13" x14ac:dyDescent="0.2">
      <c r="A3" s="3" t="s">
        <v>123</v>
      </c>
      <c r="B3">
        <v>652.6748046875</v>
      </c>
      <c r="C3">
        <v>9.3078512551265096</v>
      </c>
      <c r="D3">
        <v>31.7200893760611</v>
      </c>
      <c r="E3">
        <v>39.275047815141001</v>
      </c>
      <c r="F3">
        <v>0.985550352507783</v>
      </c>
      <c r="G3">
        <v>87.016884184897407</v>
      </c>
      <c r="H3">
        <v>84.812914334087097</v>
      </c>
      <c r="I3" t="str">
        <f t="shared" ref="I3:I34" si="1">LEFT(A3,FIND(".",A3)-1)</f>
        <v>bar</v>
      </c>
      <c r="J3" t="s">
        <v>156</v>
      </c>
      <c r="K3">
        <v>444</v>
      </c>
      <c r="L3">
        <f t="shared" si="0"/>
        <v>91</v>
      </c>
    </row>
    <row r="4" spans="1:13" x14ac:dyDescent="0.2">
      <c r="A4" s="3" t="s">
        <v>124</v>
      </c>
      <c r="B4">
        <v>693.69140625</v>
      </c>
      <c r="C4">
        <v>8.7574964101697805</v>
      </c>
      <c r="D4">
        <v>32.092929429346697</v>
      </c>
      <c r="E4">
        <v>39.647615986688301</v>
      </c>
      <c r="F4">
        <v>0.98647092457866803</v>
      </c>
      <c r="G4">
        <v>87.755144643279607</v>
      </c>
      <c r="H4">
        <v>85.375209111750607</v>
      </c>
      <c r="I4" t="str">
        <f t="shared" si="1"/>
        <v>bar</v>
      </c>
      <c r="J4" t="s">
        <v>156</v>
      </c>
      <c r="K4">
        <v>444</v>
      </c>
      <c r="L4">
        <f t="shared" si="0"/>
        <v>92</v>
      </c>
    </row>
    <row r="5" spans="1:13" x14ac:dyDescent="0.2">
      <c r="A5" s="3" t="s">
        <v>125</v>
      </c>
      <c r="B5">
        <v>764.3642578125</v>
      </c>
      <c r="C5">
        <v>7.9477813593557798</v>
      </c>
      <c r="D5">
        <v>32.592423849811702</v>
      </c>
      <c r="E5">
        <v>40.146591720485297</v>
      </c>
      <c r="F5">
        <v>0.98768248585104601</v>
      </c>
      <c r="G5">
        <v>88.742226933729498</v>
      </c>
      <c r="H5">
        <v>86.123565595025198</v>
      </c>
      <c r="I5" t="str">
        <f t="shared" si="1"/>
        <v>bar</v>
      </c>
      <c r="J5" t="s">
        <v>156</v>
      </c>
      <c r="K5">
        <v>444</v>
      </c>
      <c r="L5">
        <f t="shared" si="0"/>
        <v>93</v>
      </c>
    </row>
    <row r="6" spans="1:13" x14ac:dyDescent="0.2">
      <c r="A6" s="3" t="s">
        <v>126</v>
      </c>
      <c r="B6">
        <v>854.3974609375</v>
      </c>
      <c r="C6">
        <v>7.1102739389395202</v>
      </c>
      <c r="D6">
        <v>33.248751865105703</v>
      </c>
      <c r="E6">
        <v>40.802983800400703</v>
      </c>
      <c r="F6">
        <v>0.98915151655530797</v>
      </c>
      <c r="G6">
        <v>90.038536078271406</v>
      </c>
      <c r="H6">
        <v>87.043805723007793</v>
      </c>
      <c r="I6" t="str">
        <f t="shared" si="1"/>
        <v>bar</v>
      </c>
      <c r="J6" t="s">
        <v>156</v>
      </c>
      <c r="K6">
        <v>444</v>
      </c>
      <c r="L6">
        <f t="shared" si="0"/>
        <v>94</v>
      </c>
    </row>
    <row r="7" spans="1:13" x14ac:dyDescent="0.2">
      <c r="A7" s="3" t="s">
        <v>127</v>
      </c>
      <c r="B7">
        <v>951.130859375</v>
      </c>
      <c r="C7">
        <v>6.3871337367730403</v>
      </c>
      <c r="D7">
        <v>34.0364652398654</v>
      </c>
      <c r="E7">
        <v>41.5905570104918</v>
      </c>
      <c r="F7">
        <v>0.99071159310888002</v>
      </c>
      <c r="G7">
        <v>91.591644322631595</v>
      </c>
      <c r="H7">
        <v>88.036733404087698</v>
      </c>
      <c r="I7" t="str">
        <f t="shared" si="1"/>
        <v>bar</v>
      </c>
      <c r="J7" t="s">
        <v>156</v>
      </c>
      <c r="K7">
        <v>444</v>
      </c>
      <c r="L7">
        <f t="shared" si="0"/>
        <v>95</v>
      </c>
    </row>
    <row r="8" spans="1:13" x14ac:dyDescent="0.2">
      <c r="A8" s="3" t="s">
        <v>128</v>
      </c>
      <c r="B8">
        <v>1098.5634765625</v>
      </c>
      <c r="C8">
        <v>5.5299490012258596</v>
      </c>
      <c r="D8">
        <v>35.201676278982099</v>
      </c>
      <c r="E8">
        <v>42.755876694084002</v>
      </c>
      <c r="F8">
        <v>0.99270258700395198</v>
      </c>
      <c r="G8">
        <v>93.886872186010393</v>
      </c>
      <c r="H8">
        <v>89.327762691107907</v>
      </c>
      <c r="I8" t="str">
        <f t="shared" si="1"/>
        <v>bar</v>
      </c>
      <c r="J8" t="s">
        <v>156</v>
      </c>
      <c r="K8">
        <v>444</v>
      </c>
      <c r="L8">
        <f t="shared" si="0"/>
        <v>96</v>
      </c>
    </row>
    <row r="9" spans="1:13" x14ac:dyDescent="0.2">
      <c r="A9" s="3" t="s">
        <v>129</v>
      </c>
      <c r="B9">
        <v>1250.9990234375</v>
      </c>
      <c r="C9">
        <v>4.8561188987239099</v>
      </c>
      <c r="D9">
        <v>36.611639347111399</v>
      </c>
      <c r="E9">
        <v>44.165840583905997</v>
      </c>
      <c r="F9">
        <v>0.99457779092515797</v>
      </c>
      <c r="G9">
        <v>96.661546528542203</v>
      </c>
      <c r="H9">
        <v>90.568627530064305</v>
      </c>
      <c r="I9" t="str">
        <f t="shared" si="1"/>
        <v>bar</v>
      </c>
      <c r="J9" t="s">
        <v>156</v>
      </c>
      <c r="K9">
        <v>444</v>
      </c>
      <c r="L9">
        <f t="shared" si="0"/>
        <v>97</v>
      </c>
    </row>
    <row r="10" spans="1:13" x14ac:dyDescent="0.2">
      <c r="A10" s="3" t="s">
        <v>130</v>
      </c>
      <c r="B10">
        <v>1439.2001953125</v>
      </c>
      <c r="C10">
        <v>4.2210944799662897</v>
      </c>
      <c r="D10">
        <v>38.532869430802101</v>
      </c>
      <c r="E10">
        <v>46.087197635795903</v>
      </c>
      <c r="F10">
        <v>0.99642691108267201</v>
      </c>
      <c r="G10">
        <v>100.44073218686501</v>
      </c>
      <c r="H10">
        <v>91.816381967794996</v>
      </c>
      <c r="I10" t="str">
        <f t="shared" si="1"/>
        <v>bar</v>
      </c>
      <c r="J10" t="s">
        <v>156</v>
      </c>
      <c r="K10">
        <v>444</v>
      </c>
      <c r="L10">
        <f t="shared" si="0"/>
        <v>98</v>
      </c>
    </row>
    <row r="11" spans="1:13" x14ac:dyDescent="0.2">
      <c r="A11" s="3" t="s">
        <v>131</v>
      </c>
      <c r="B11">
        <v>1890.7568359375</v>
      </c>
      <c r="C11">
        <v>3.2129990935549402</v>
      </c>
      <c r="D11">
        <v>40.916732010808097</v>
      </c>
      <c r="E11">
        <v>48.471171604074399</v>
      </c>
      <c r="F11">
        <v>0.99779316751922698</v>
      </c>
      <c r="G11">
        <v>105.12879667561801</v>
      </c>
      <c r="H11">
        <v>92.753990749864897</v>
      </c>
      <c r="I11" t="str">
        <f t="shared" si="1"/>
        <v>bar</v>
      </c>
      <c r="J11" t="s">
        <v>156</v>
      </c>
      <c r="K11">
        <v>444</v>
      </c>
      <c r="L11">
        <f t="shared" si="0"/>
        <v>99</v>
      </c>
    </row>
    <row r="12" spans="1:13" x14ac:dyDescent="0.2">
      <c r="A12" s="3" t="s">
        <v>132</v>
      </c>
      <c r="B12">
        <v>2407.8798828125</v>
      </c>
      <c r="C12">
        <v>2.5229663835656799</v>
      </c>
      <c r="D12">
        <v>43.0732919650317</v>
      </c>
      <c r="E12">
        <v>50.627786525939598</v>
      </c>
      <c r="F12">
        <v>0.99848527357727501</v>
      </c>
      <c r="G12">
        <v>109.36946037744001</v>
      </c>
      <c r="H12">
        <v>93.234111862177997</v>
      </c>
      <c r="I12" t="str">
        <f t="shared" si="1"/>
        <v>bar</v>
      </c>
      <c r="J12" t="s">
        <v>156</v>
      </c>
      <c r="K12">
        <v>444</v>
      </c>
      <c r="L12">
        <f t="shared" si="0"/>
        <v>100</v>
      </c>
    </row>
    <row r="13" spans="1:13" x14ac:dyDescent="0.2">
      <c r="A13" s="3" t="s">
        <v>133</v>
      </c>
      <c r="B13">
        <v>699.44140625</v>
      </c>
      <c r="C13">
        <v>8.6855023819230706</v>
      </c>
      <c r="D13">
        <v>33.536994345951001</v>
      </c>
      <c r="E13">
        <v>38.852695146091797</v>
      </c>
      <c r="F13">
        <v>0.98394710431229804</v>
      </c>
      <c r="G13">
        <v>86.178337852315494</v>
      </c>
      <c r="H13">
        <v>83.846498646055096</v>
      </c>
      <c r="I13" t="str">
        <f t="shared" si="1"/>
        <v>building</v>
      </c>
      <c r="J13" t="s">
        <v>156</v>
      </c>
      <c r="K13">
        <v>444</v>
      </c>
      <c r="L13">
        <f t="shared" si="0"/>
        <v>90</v>
      </c>
    </row>
    <row r="14" spans="1:13" x14ac:dyDescent="0.2">
      <c r="A14" s="3" t="s">
        <v>134</v>
      </c>
      <c r="B14">
        <v>737.576171875</v>
      </c>
      <c r="C14">
        <v>8.2364374442258406</v>
      </c>
      <c r="D14">
        <v>34.019386415688899</v>
      </c>
      <c r="E14">
        <v>39.335245291237598</v>
      </c>
      <c r="F14">
        <v>0.98528611268705502</v>
      </c>
      <c r="G14">
        <v>87.136251532230204</v>
      </c>
      <c r="H14">
        <v>84.652514072993199</v>
      </c>
      <c r="I14" t="str">
        <f t="shared" si="1"/>
        <v>building</v>
      </c>
      <c r="J14" t="s">
        <v>156</v>
      </c>
      <c r="K14">
        <v>444</v>
      </c>
      <c r="L14">
        <f t="shared" si="0"/>
        <v>91</v>
      </c>
    </row>
    <row r="15" spans="1:13" x14ac:dyDescent="0.2">
      <c r="A15" s="3" t="s">
        <v>135</v>
      </c>
      <c r="B15">
        <v>773.154296875</v>
      </c>
      <c r="C15">
        <v>7.8574225410819603</v>
      </c>
      <c r="D15">
        <v>34.571816878392497</v>
      </c>
      <c r="E15">
        <v>39.887753520637801</v>
      </c>
      <c r="F15">
        <v>0.98653616338829597</v>
      </c>
      <c r="G15">
        <v>88.230399423541897</v>
      </c>
      <c r="H15">
        <v>85.415263999992206</v>
      </c>
      <c r="I15" t="str">
        <f t="shared" si="1"/>
        <v>building</v>
      </c>
      <c r="J15" t="s">
        <v>156</v>
      </c>
      <c r="K15">
        <v>444</v>
      </c>
      <c r="L15">
        <f t="shared" si="0"/>
        <v>92</v>
      </c>
    </row>
    <row r="16" spans="1:13" x14ac:dyDescent="0.2">
      <c r="A16" s="3" t="s">
        <v>136</v>
      </c>
      <c r="B16">
        <v>839.9873046875</v>
      </c>
      <c r="C16">
        <v>7.2322521615491304</v>
      </c>
      <c r="D16">
        <v>35.191308868371202</v>
      </c>
      <c r="E16">
        <v>40.506244609230002</v>
      </c>
      <c r="F16">
        <v>0.98788233572504502</v>
      </c>
      <c r="G16">
        <v>89.452764458386</v>
      </c>
      <c r="H16">
        <v>86.247925064960597</v>
      </c>
      <c r="I16" t="str">
        <f t="shared" si="1"/>
        <v>building</v>
      </c>
      <c r="J16" t="s">
        <v>156</v>
      </c>
      <c r="K16">
        <v>444</v>
      </c>
      <c r="L16">
        <f t="shared" si="0"/>
        <v>93</v>
      </c>
    </row>
    <row r="17" spans="1:12" x14ac:dyDescent="0.2">
      <c r="A17" s="3" t="s">
        <v>137</v>
      </c>
      <c r="B17">
        <v>921.259765625</v>
      </c>
      <c r="C17">
        <v>6.5942313196306896</v>
      </c>
      <c r="D17">
        <v>35.942576568846903</v>
      </c>
      <c r="E17">
        <v>41.258040194429903</v>
      </c>
      <c r="F17">
        <v>0.98929274185632898</v>
      </c>
      <c r="G17">
        <v>90.936157661718994</v>
      </c>
      <c r="H17">
        <v>87.133022555640295</v>
      </c>
      <c r="I17" t="str">
        <f t="shared" si="1"/>
        <v>building</v>
      </c>
      <c r="J17" t="s">
        <v>156</v>
      </c>
      <c r="K17">
        <v>444</v>
      </c>
      <c r="L17">
        <f t="shared" si="0"/>
        <v>94</v>
      </c>
    </row>
    <row r="18" spans="1:12" x14ac:dyDescent="0.2">
      <c r="A18" s="3" t="s">
        <v>138</v>
      </c>
      <c r="B18">
        <v>1014.1396484375</v>
      </c>
      <c r="C18">
        <v>5.99029927422702</v>
      </c>
      <c r="D18">
        <v>36.764868738367902</v>
      </c>
      <c r="E18">
        <v>42.080684388643199</v>
      </c>
      <c r="F18">
        <v>0.99064436328857697</v>
      </c>
      <c r="G18">
        <v>92.557319867216194</v>
      </c>
      <c r="H18">
        <v>87.9936082980648</v>
      </c>
      <c r="I18" t="str">
        <f t="shared" si="1"/>
        <v>building</v>
      </c>
      <c r="J18" t="s">
        <v>156</v>
      </c>
      <c r="K18">
        <v>444</v>
      </c>
      <c r="L18">
        <f t="shared" si="0"/>
        <v>95</v>
      </c>
    </row>
    <row r="19" spans="1:12" x14ac:dyDescent="0.2">
      <c r="A19" s="3" t="s">
        <v>139</v>
      </c>
      <c r="B19">
        <v>1161.330078125</v>
      </c>
      <c r="C19">
        <v>5.2310709198269096</v>
      </c>
      <c r="D19">
        <v>37.860463447592899</v>
      </c>
      <c r="E19">
        <v>43.177074231034197</v>
      </c>
      <c r="F19">
        <v>0.992155501496784</v>
      </c>
      <c r="G19">
        <v>94.715946970247899</v>
      </c>
      <c r="H19">
        <v>88.970321642112395</v>
      </c>
      <c r="I19" t="str">
        <f t="shared" si="1"/>
        <v>building</v>
      </c>
      <c r="J19" t="s">
        <v>156</v>
      </c>
      <c r="K19">
        <v>444</v>
      </c>
      <c r="L19">
        <f t="shared" si="0"/>
        <v>96</v>
      </c>
    </row>
    <row r="20" spans="1:12" x14ac:dyDescent="0.2">
      <c r="A20" s="3" t="s">
        <v>140</v>
      </c>
      <c r="B20">
        <v>1323.7109375</v>
      </c>
      <c r="C20">
        <v>4.5893705550801203</v>
      </c>
      <c r="D20">
        <v>39.1020629165141</v>
      </c>
      <c r="E20">
        <v>44.418967131027202</v>
      </c>
      <c r="F20">
        <v>0.99352556646117096</v>
      </c>
      <c r="G20">
        <v>97.159515742455199</v>
      </c>
      <c r="H20">
        <v>89.869340987825595</v>
      </c>
      <c r="I20" t="str">
        <f t="shared" si="1"/>
        <v>building</v>
      </c>
      <c r="J20" t="s">
        <v>156</v>
      </c>
      <c r="K20">
        <v>444</v>
      </c>
      <c r="L20">
        <f t="shared" si="0"/>
        <v>97</v>
      </c>
    </row>
    <row r="21" spans="1:12" x14ac:dyDescent="0.2">
      <c r="A21" s="3" t="s">
        <v>141</v>
      </c>
      <c r="B21">
        <v>1539.205078125</v>
      </c>
      <c r="C21">
        <v>3.94684248794211</v>
      </c>
      <c r="D21">
        <v>40.747662953772</v>
      </c>
      <c r="E21">
        <v>46.064779882111402</v>
      </c>
      <c r="F21">
        <v>0.99491327518793704</v>
      </c>
      <c r="G21">
        <v>100.396644260448</v>
      </c>
      <c r="H21">
        <v>90.793211985691897</v>
      </c>
      <c r="I21" t="str">
        <f t="shared" si="1"/>
        <v>building</v>
      </c>
      <c r="J21" t="s">
        <v>156</v>
      </c>
      <c r="K21">
        <v>444</v>
      </c>
      <c r="L21">
        <f t="shared" si="0"/>
        <v>98</v>
      </c>
    </row>
    <row r="22" spans="1:12" x14ac:dyDescent="0.2">
      <c r="A22" s="3" t="s">
        <v>142</v>
      </c>
      <c r="B22">
        <v>2012.912109375</v>
      </c>
      <c r="C22">
        <v>3.0180155267118201</v>
      </c>
      <c r="D22">
        <v>43.125016125392101</v>
      </c>
      <c r="E22">
        <v>48.442471359593803</v>
      </c>
      <c r="F22">
        <v>0.996396220498034</v>
      </c>
      <c r="G22">
        <v>105.072360779847</v>
      </c>
      <c r="H22">
        <v>91.795474236078206</v>
      </c>
      <c r="I22" t="str">
        <f t="shared" si="1"/>
        <v>building</v>
      </c>
      <c r="J22" t="s">
        <v>156</v>
      </c>
      <c r="K22">
        <v>444</v>
      </c>
      <c r="L22">
        <f t="shared" si="0"/>
        <v>99</v>
      </c>
    </row>
    <row r="23" spans="1:12" x14ac:dyDescent="0.2">
      <c r="A23" s="3" t="s">
        <v>143</v>
      </c>
      <c r="B23">
        <v>2533.3623046875</v>
      </c>
      <c r="C23">
        <v>2.3979988921282098</v>
      </c>
      <c r="D23">
        <v>45.339306558291597</v>
      </c>
      <c r="E23">
        <v>50.657032986572702</v>
      </c>
      <c r="F23">
        <v>0.99745859203948795</v>
      </c>
      <c r="G23">
        <v>109.426968457401</v>
      </c>
      <c r="H23">
        <v>92.523139889188997</v>
      </c>
      <c r="I23" t="str">
        <f t="shared" si="1"/>
        <v>building</v>
      </c>
      <c r="J23" t="s">
        <v>156</v>
      </c>
      <c r="K23">
        <v>444</v>
      </c>
      <c r="L23">
        <f t="shared" si="0"/>
        <v>100</v>
      </c>
    </row>
    <row r="24" spans="1:12" x14ac:dyDescent="0.2">
      <c r="A24" s="3" t="s">
        <v>144</v>
      </c>
      <c r="B24">
        <v>510.2099609375</v>
      </c>
      <c r="C24">
        <v>11.9068627920108</v>
      </c>
      <c r="D24">
        <v>32.117713377703303</v>
      </c>
      <c r="E24">
        <v>39.044461395706101</v>
      </c>
      <c r="F24">
        <v>0.990217043870536</v>
      </c>
      <c r="G24">
        <v>86.559314591173802</v>
      </c>
      <c r="H24">
        <v>87.720210905531104</v>
      </c>
      <c r="I24" t="str">
        <f t="shared" si="1"/>
        <v>earth</v>
      </c>
      <c r="J24" t="s">
        <v>156</v>
      </c>
      <c r="K24">
        <v>444</v>
      </c>
      <c r="L24">
        <f t="shared" si="0"/>
        <v>90</v>
      </c>
    </row>
    <row r="25" spans="1:12" x14ac:dyDescent="0.2">
      <c r="A25" s="3" t="s">
        <v>145</v>
      </c>
      <c r="B25">
        <v>543.2919921875</v>
      </c>
      <c r="C25">
        <v>11.1818323983384</v>
      </c>
      <c r="D25">
        <v>32.534228566185199</v>
      </c>
      <c r="E25">
        <v>39.460716473793703</v>
      </c>
      <c r="F25">
        <v>0.99092413152570802</v>
      </c>
      <c r="G25">
        <v>87.384945131067099</v>
      </c>
      <c r="H25">
        <v>88.173268160377603</v>
      </c>
      <c r="I25" t="str">
        <f t="shared" si="1"/>
        <v>earth</v>
      </c>
      <c r="J25" t="s">
        <v>156</v>
      </c>
      <c r="K25">
        <v>444</v>
      </c>
      <c r="L25">
        <f t="shared" si="0"/>
        <v>91</v>
      </c>
    </row>
    <row r="26" spans="1:12" x14ac:dyDescent="0.2">
      <c r="A26" s="3" t="s">
        <v>146</v>
      </c>
      <c r="B26">
        <v>575.9384765625</v>
      </c>
      <c r="C26">
        <v>10.5480016481253</v>
      </c>
      <c r="D26">
        <v>33.009710543090797</v>
      </c>
      <c r="E26">
        <v>39.935899521428198</v>
      </c>
      <c r="F26">
        <v>0.99163493396948599</v>
      </c>
      <c r="G26">
        <v>88.325635995228097</v>
      </c>
      <c r="H26">
        <v>88.632106361169505</v>
      </c>
      <c r="I26" t="str">
        <f t="shared" si="1"/>
        <v>earth</v>
      </c>
      <c r="J26" t="s">
        <v>156</v>
      </c>
      <c r="K26">
        <v>444</v>
      </c>
      <c r="L26">
        <f t="shared" si="0"/>
        <v>92</v>
      </c>
    </row>
    <row r="27" spans="1:12" x14ac:dyDescent="0.2">
      <c r="A27" s="3" t="s">
        <v>147</v>
      </c>
      <c r="B27">
        <v>630.8037109375</v>
      </c>
      <c r="C27">
        <v>9.6305711185042604</v>
      </c>
      <c r="D27">
        <v>33.585347813248198</v>
      </c>
      <c r="E27">
        <v>40.511139819098297</v>
      </c>
      <c r="F27">
        <v>0.99245586155799004</v>
      </c>
      <c r="G27">
        <v>89.462430968527997</v>
      </c>
      <c r="H27">
        <v>89.166309301014493</v>
      </c>
      <c r="I27" t="str">
        <f t="shared" si="1"/>
        <v>earth</v>
      </c>
      <c r="J27" t="s">
        <v>156</v>
      </c>
      <c r="K27">
        <v>444</v>
      </c>
      <c r="L27">
        <f t="shared" si="0"/>
        <v>93</v>
      </c>
    </row>
    <row r="28" spans="1:12" x14ac:dyDescent="0.2">
      <c r="A28" s="3" t="s">
        <v>148</v>
      </c>
      <c r="B28">
        <v>701.10546875</v>
      </c>
      <c r="C28">
        <v>8.6648874823799495</v>
      </c>
      <c r="D28">
        <v>34.275035769219798</v>
      </c>
      <c r="E28">
        <v>41.200485536319</v>
      </c>
      <c r="F28">
        <v>0.99332606171877902</v>
      </c>
      <c r="G28">
        <v>90.822667564053802</v>
      </c>
      <c r="H28">
        <v>89.737622995594805</v>
      </c>
      <c r="I28" t="str">
        <f t="shared" si="1"/>
        <v>earth</v>
      </c>
      <c r="J28" t="s">
        <v>156</v>
      </c>
      <c r="K28">
        <v>444</v>
      </c>
      <c r="L28">
        <f t="shared" si="0"/>
        <v>94</v>
      </c>
    </row>
    <row r="29" spans="1:12" x14ac:dyDescent="0.2">
      <c r="A29" s="3" t="s">
        <v>149</v>
      </c>
      <c r="B29">
        <v>783.6943359375</v>
      </c>
      <c r="C29">
        <v>7.7517467224421601</v>
      </c>
      <c r="D29">
        <v>35.076810115722502</v>
      </c>
      <c r="E29">
        <v>42.001897370026498</v>
      </c>
      <c r="F29">
        <v>0.99422296718831404</v>
      </c>
      <c r="G29">
        <v>92.402124707240603</v>
      </c>
      <c r="H29">
        <v>90.331955505000494</v>
      </c>
      <c r="I29" t="str">
        <f t="shared" si="1"/>
        <v>earth</v>
      </c>
      <c r="J29" t="s">
        <v>156</v>
      </c>
      <c r="K29">
        <v>444</v>
      </c>
      <c r="L29">
        <f t="shared" si="0"/>
        <v>95</v>
      </c>
    </row>
    <row r="30" spans="1:12" x14ac:dyDescent="0.2">
      <c r="A30" s="3" t="s">
        <v>150</v>
      </c>
      <c r="B30">
        <v>912.970703125</v>
      </c>
      <c r="C30">
        <v>6.6541018010829198</v>
      </c>
      <c r="D30">
        <v>36.161659849797502</v>
      </c>
      <c r="E30">
        <v>43.086289678667697</v>
      </c>
      <c r="F30">
        <v>0.99526782846288098</v>
      </c>
      <c r="G30">
        <v>94.537266216140296</v>
      </c>
      <c r="H30">
        <v>91.031422966222195</v>
      </c>
      <c r="I30" t="str">
        <f t="shared" si="1"/>
        <v>earth</v>
      </c>
      <c r="J30" t="s">
        <v>156</v>
      </c>
      <c r="K30">
        <v>444</v>
      </c>
      <c r="L30">
        <f t="shared" si="0"/>
        <v>96</v>
      </c>
    </row>
    <row r="31" spans="1:12" x14ac:dyDescent="0.2">
      <c r="A31" s="3" t="s">
        <v>151</v>
      </c>
      <c r="B31">
        <v>1058.8974609375</v>
      </c>
      <c r="C31">
        <v>5.7370994115157004</v>
      </c>
      <c r="D31">
        <v>37.471045700012198</v>
      </c>
      <c r="E31">
        <v>44.395207606970502</v>
      </c>
      <c r="F31">
        <v>0.996276196240092</v>
      </c>
      <c r="G31">
        <v>97.112775735722195</v>
      </c>
      <c r="H31">
        <v>91.713773249699003</v>
      </c>
      <c r="I31" t="str">
        <f t="shared" si="1"/>
        <v>earth</v>
      </c>
      <c r="J31" t="s">
        <v>156</v>
      </c>
      <c r="K31">
        <v>444</v>
      </c>
      <c r="L31">
        <f t="shared" si="0"/>
        <v>97</v>
      </c>
    </row>
    <row r="32" spans="1:12" x14ac:dyDescent="0.2">
      <c r="A32" s="3" t="s">
        <v>152</v>
      </c>
      <c r="B32">
        <v>1257.548828125</v>
      </c>
      <c r="C32">
        <v>4.8308263378192597</v>
      </c>
      <c r="D32">
        <v>39.2809132001357</v>
      </c>
      <c r="E32">
        <v>46.204554834038397</v>
      </c>
      <c r="F32">
        <v>0.997336296286359</v>
      </c>
      <c r="G32">
        <v>100.67153138218001</v>
      </c>
      <c r="H32">
        <v>92.438960211882701</v>
      </c>
      <c r="I32" t="str">
        <f t="shared" si="1"/>
        <v>earth</v>
      </c>
      <c r="J32" t="s">
        <v>156</v>
      </c>
      <c r="K32">
        <v>444</v>
      </c>
      <c r="L32">
        <f t="shared" si="0"/>
        <v>98</v>
      </c>
    </row>
    <row r="33" spans="1:12" x14ac:dyDescent="0.2">
      <c r="A33" s="3" t="s">
        <v>153</v>
      </c>
      <c r="B33">
        <v>1677.4169921875</v>
      </c>
      <c r="C33">
        <v>3.6216397164772101</v>
      </c>
      <c r="D33">
        <v>41.992610396885901</v>
      </c>
      <c r="E33">
        <v>48.915593785772401</v>
      </c>
      <c r="F33">
        <v>0.99844533024609705</v>
      </c>
      <c r="G33">
        <v>106.00269935906999</v>
      </c>
      <c r="H33">
        <v>93.206307822720404</v>
      </c>
      <c r="I33" t="str">
        <f t="shared" si="1"/>
        <v>earth</v>
      </c>
      <c r="J33" t="s">
        <v>156</v>
      </c>
      <c r="K33">
        <v>444</v>
      </c>
      <c r="L33">
        <f t="shared" si="0"/>
        <v>99</v>
      </c>
    </row>
    <row r="34" spans="1:12" x14ac:dyDescent="0.2">
      <c r="A34" s="3" t="s">
        <v>154</v>
      </c>
      <c r="B34">
        <v>2097.857421875</v>
      </c>
      <c r="C34">
        <v>2.89581166796853</v>
      </c>
      <c r="D34">
        <v>44.407263228196101</v>
      </c>
      <c r="E34">
        <v>51.329846982579603</v>
      </c>
      <c r="F34">
        <v>0.99907062714964401</v>
      </c>
      <c r="G34">
        <v>110.74993710424999</v>
      </c>
      <c r="H34">
        <v>93.642908895474903</v>
      </c>
      <c r="I34" t="str">
        <f t="shared" si="1"/>
        <v>earth</v>
      </c>
      <c r="J34" t="s">
        <v>156</v>
      </c>
      <c r="K34">
        <v>444</v>
      </c>
      <c r="L34">
        <f t="shared" si="0"/>
        <v>100</v>
      </c>
    </row>
    <row r="35" spans="1:12" x14ac:dyDescent="0.2">
      <c r="A35" s="3" t="s">
        <v>157</v>
      </c>
      <c r="B35">
        <v>199.0390625</v>
      </c>
      <c r="C35">
        <v>30.295560701809499</v>
      </c>
      <c r="D35">
        <v>24.646443079464099</v>
      </c>
      <c r="E35">
        <v>32.228553950380601</v>
      </c>
      <c r="F35">
        <v>0.96360728564774301</v>
      </c>
      <c r="G35">
        <v>71.6474904066813</v>
      </c>
      <c r="H35">
        <v>72.895366330331598</v>
      </c>
      <c r="I35" t="str">
        <f>LEFT(A35,FIND(".",A35)-5)</f>
        <v>bar</v>
      </c>
      <c r="J35" t="s">
        <v>190</v>
      </c>
      <c r="K35">
        <v>444</v>
      </c>
      <c r="L35">
        <f t="shared" ref="L35:L67" si="2">((MID(A35,FIND("ppm",A35)+3,FIND(".jpg",A35)-FIND("ppm",A35)-13)))+0</f>
        <v>90</v>
      </c>
    </row>
    <row r="36" spans="1:12" x14ac:dyDescent="0.2">
      <c r="A36" s="3" t="s">
        <v>158</v>
      </c>
      <c r="B36">
        <v>212.330078125</v>
      </c>
      <c r="C36">
        <v>28.399179490953198</v>
      </c>
      <c r="D36">
        <v>24.7166460807153</v>
      </c>
      <c r="E36">
        <v>32.2986700425866</v>
      </c>
      <c r="F36">
        <v>0.96413777274073997</v>
      </c>
      <c r="G36">
        <v>71.842110074191197</v>
      </c>
      <c r="H36">
        <v>73.152444417698902</v>
      </c>
      <c r="I36" t="str">
        <f t="shared" ref="I36:I67" si="3">LEFT(A36,FIND(".",A36)-5)</f>
        <v>bar</v>
      </c>
      <c r="J36" t="s">
        <v>190</v>
      </c>
      <c r="K36">
        <v>444</v>
      </c>
      <c r="L36">
        <f t="shared" si="2"/>
        <v>91</v>
      </c>
    </row>
    <row r="37" spans="1:12" x14ac:dyDescent="0.2">
      <c r="A37" s="3" t="s">
        <v>159</v>
      </c>
      <c r="B37">
        <v>225.328125</v>
      </c>
      <c r="C37">
        <v>26.7609735801955</v>
      </c>
      <c r="D37">
        <v>24.777063681273201</v>
      </c>
      <c r="E37">
        <v>32.358913663289698</v>
      </c>
      <c r="F37">
        <v>0.96457022241489498</v>
      </c>
      <c r="G37">
        <v>72.007762813827597</v>
      </c>
      <c r="H37">
        <v>73.363065810288404</v>
      </c>
      <c r="I37" t="str">
        <f t="shared" si="3"/>
        <v>bar</v>
      </c>
      <c r="J37" t="s">
        <v>190</v>
      </c>
      <c r="K37">
        <v>444</v>
      </c>
      <c r="L37">
        <f t="shared" si="2"/>
        <v>92</v>
      </c>
    </row>
    <row r="38" spans="1:12" x14ac:dyDescent="0.2">
      <c r="A38" s="3" t="s">
        <v>160</v>
      </c>
      <c r="B38">
        <v>247.37890625</v>
      </c>
      <c r="C38">
        <v>24.3755625384895</v>
      </c>
      <c r="D38">
        <v>24.848241429308299</v>
      </c>
      <c r="E38">
        <v>32.429959342589299</v>
      </c>
      <c r="F38">
        <v>0.96507376194018801</v>
      </c>
      <c r="G38">
        <v>72.201313029082002</v>
      </c>
      <c r="H38">
        <v>73.609509130089705</v>
      </c>
      <c r="I38" t="str">
        <f t="shared" si="3"/>
        <v>bar</v>
      </c>
      <c r="J38" t="s">
        <v>190</v>
      </c>
      <c r="K38">
        <v>444</v>
      </c>
      <c r="L38">
        <f t="shared" si="2"/>
        <v>93</v>
      </c>
    </row>
    <row r="39" spans="1:12" x14ac:dyDescent="0.2">
      <c r="A39" s="3" t="s">
        <v>161</v>
      </c>
      <c r="B39">
        <v>274.5966796875</v>
      </c>
      <c r="C39">
        <v>21.959478923278802</v>
      </c>
      <c r="D39">
        <v>24.925358084787501</v>
      </c>
      <c r="E39">
        <v>32.507101991731801</v>
      </c>
      <c r="F39">
        <v>0.96568783535316105</v>
      </c>
      <c r="G39">
        <v>72.409326575419598</v>
      </c>
      <c r="H39">
        <v>73.911804707697698</v>
      </c>
      <c r="I39" t="str">
        <f t="shared" si="3"/>
        <v>bar</v>
      </c>
      <c r="J39" t="s">
        <v>190</v>
      </c>
      <c r="K39">
        <v>444</v>
      </c>
      <c r="L39">
        <f t="shared" si="2"/>
        <v>94</v>
      </c>
    </row>
    <row r="40" spans="1:12" x14ac:dyDescent="0.2">
      <c r="A40" s="3" t="s">
        <v>162</v>
      </c>
      <c r="B40">
        <v>305.1962890625</v>
      </c>
      <c r="C40">
        <v>19.7577762774342</v>
      </c>
      <c r="D40">
        <v>25.0049193095813</v>
      </c>
      <c r="E40">
        <v>32.586580127779897</v>
      </c>
      <c r="F40">
        <v>0.96634125999347498</v>
      </c>
      <c r="G40">
        <v>72.621376736934707</v>
      </c>
      <c r="H40">
        <v>74.235603104971702</v>
      </c>
      <c r="I40" t="str">
        <f t="shared" si="3"/>
        <v>bar</v>
      </c>
      <c r="J40" t="s">
        <v>190</v>
      </c>
      <c r="K40">
        <v>444</v>
      </c>
      <c r="L40">
        <f t="shared" si="2"/>
        <v>95</v>
      </c>
    </row>
    <row r="41" spans="1:12" x14ac:dyDescent="0.2">
      <c r="A41" s="3" t="s">
        <v>163</v>
      </c>
      <c r="B41">
        <v>350.88671875</v>
      </c>
      <c r="C41">
        <v>17.185033453193402</v>
      </c>
      <c r="D41">
        <v>25.1000727400701</v>
      </c>
      <c r="E41">
        <v>32.6816848442976</v>
      </c>
      <c r="F41">
        <v>0.96730827137837705</v>
      </c>
      <c r="G41">
        <v>72.872213672161706</v>
      </c>
      <c r="H41">
        <v>74.718861196681701</v>
      </c>
      <c r="I41" t="str">
        <f t="shared" si="3"/>
        <v>bar</v>
      </c>
      <c r="J41" t="s">
        <v>190</v>
      </c>
      <c r="K41">
        <v>444</v>
      </c>
      <c r="L41">
        <f t="shared" si="2"/>
        <v>96</v>
      </c>
    </row>
    <row r="42" spans="1:12" x14ac:dyDescent="0.2">
      <c r="A42" s="3" t="s">
        <v>164</v>
      </c>
      <c r="B42">
        <v>399.4755859375</v>
      </c>
      <c r="C42">
        <v>15.094789800104101</v>
      </c>
      <c r="D42">
        <v>25.188254868717301</v>
      </c>
      <c r="E42">
        <v>32.769829424019903</v>
      </c>
      <c r="F42">
        <v>0.96829324591388199</v>
      </c>
      <c r="G42">
        <v>73.101976180158104</v>
      </c>
      <c r="H42">
        <v>75.216131012066896</v>
      </c>
      <c r="I42" t="str">
        <f t="shared" si="3"/>
        <v>bar</v>
      </c>
      <c r="J42" t="s">
        <v>190</v>
      </c>
      <c r="K42">
        <v>444</v>
      </c>
      <c r="L42">
        <f t="shared" si="2"/>
        <v>97</v>
      </c>
    </row>
    <row r="43" spans="1:12" x14ac:dyDescent="0.2">
      <c r="A43" s="3" t="s">
        <v>165</v>
      </c>
      <c r="B43">
        <v>460.9541015625</v>
      </c>
      <c r="C43">
        <v>13.081562740324999</v>
      </c>
      <c r="D43">
        <v>25.269264471727301</v>
      </c>
      <c r="E43">
        <v>32.850891255508401</v>
      </c>
      <c r="F43">
        <v>0.96931806252919805</v>
      </c>
      <c r="G43">
        <v>73.311059946378407</v>
      </c>
      <c r="H43">
        <v>75.738967355169095</v>
      </c>
      <c r="I43" t="str">
        <f t="shared" si="3"/>
        <v>bar</v>
      </c>
      <c r="J43" t="s">
        <v>190</v>
      </c>
      <c r="K43">
        <v>444</v>
      </c>
      <c r="L43">
        <f t="shared" si="2"/>
        <v>98</v>
      </c>
    </row>
    <row r="44" spans="1:12" x14ac:dyDescent="0.2">
      <c r="A44" s="3" t="s">
        <v>166</v>
      </c>
      <c r="B44">
        <v>594.1748046875</v>
      </c>
      <c r="C44">
        <v>10.1485286020692</v>
      </c>
      <c r="D44">
        <v>25.330708008832101</v>
      </c>
      <c r="E44">
        <v>32.912386932158</v>
      </c>
      <c r="F44">
        <v>0.970113889428595</v>
      </c>
      <c r="G44">
        <v>73.468309240400899</v>
      </c>
      <c r="H44">
        <v>76.148853254386907</v>
      </c>
      <c r="I44" t="str">
        <f t="shared" si="3"/>
        <v>bar</v>
      </c>
      <c r="J44" t="s">
        <v>190</v>
      </c>
      <c r="K44">
        <v>444</v>
      </c>
      <c r="L44">
        <f t="shared" si="2"/>
        <v>99</v>
      </c>
    </row>
    <row r="45" spans="1:12" x14ac:dyDescent="0.2">
      <c r="A45" s="3" t="s">
        <v>167</v>
      </c>
      <c r="B45">
        <v>730.0400390625</v>
      </c>
      <c r="C45">
        <v>8.2598209376893692</v>
      </c>
      <c r="D45">
        <v>25.3598014175335</v>
      </c>
      <c r="E45">
        <v>32.941520407920201</v>
      </c>
      <c r="F45">
        <v>0.97049447981634396</v>
      </c>
      <c r="G45">
        <v>73.542404880512805</v>
      </c>
      <c r="H45">
        <v>76.346080899619196</v>
      </c>
      <c r="I45" t="str">
        <f t="shared" si="3"/>
        <v>bar</v>
      </c>
      <c r="J45" t="s">
        <v>190</v>
      </c>
      <c r="K45">
        <v>444</v>
      </c>
      <c r="L45">
        <f t="shared" si="2"/>
        <v>100</v>
      </c>
    </row>
    <row r="46" spans="1:12" x14ac:dyDescent="0.2">
      <c r="A46" s="3" t="s">
        <v>168</v>
      </c>
      <c r="B46">
        <v>225.7939453125</v>
      </c>
      <c r="C46">
        <v>26.705764814262199</v>
      </c>
      <c r="D46">
        <v>24.160891194530102</v>
      </c>
      <c r="E46">
        <v>29.474837663537699</v>
      </c>
      <c r="F46">
        <v>0.91158458160483002</v>
      </c>
      <c r="G46">
        <v>61.804204423423997</v>
      </c>
      <c r="H46">
        <v>53.4260201430588</v>
      </c>
      <c r="I46" t="str">
        <f t="shared" si="3"/>
        <v>building</v>
      </c>
      <c r="J46" t="s">
        <v>190</v>
      </c>
      <c r="K46">
        <v>444</v>
      </c>
      <c r="L46">
        <f t="shared" si="2"/>
        <v>90</v>
      </c>
    </row>
    <row r="47" spans="1:12" x14ac:dyDescent="0.2">
      <c r="A47" s="3" t="s">
        <v>169</v>
      </c>
      <c r="B47">
        <v>238.5458984375</v>
      </c>
      <c r="C47">
        <v>25.278154181216799</v>
      </c>
      <c r="D47">
        <v>24.2136335060896</v>
      </c>
      <c r="E47">
        <v>29.527602680797401</v>
      </c>
      <c r="F47">
        <v>0.91318184540884795</v>
      </c>
      <c r="G47">
        <v>62.042448452259499</v>
      </c>
      <c r="H47">
        <v>53.883776679540198</v>
      </c>
      <c r="I47" t="str">
        <f t="shared" si="3"/>
        <v>building</v>
      </c>
      <c r="J47" t="s">
        <v>190</v>
      </c>
      <c r="K47">
        <v>444</v>
      </c>
      <c r="L47">
        <f t="shared" si="2"/>
        <v>91</v>
      </c>
    </row>
    <row r="48" spans="1:12" x14ac:dyDescent="0.2">
      <c r="A48" s="3" t="s">
        <v>170</v>
      </c>
      <c r="B48">
        <v>251.517578125</v>
      </c>
      <c r="C48">
        <v>23.974467490312701</v>
      </c>
      <c r="D48">
        <v>24.266121925686701</v>
      </c>
      <c r="E48">
        <v>29.580185775701999</v>
      </c>
      <c r="F48">
        <v>0.91475336982389099</v>
      </c>
      <c r="G48">
        <v>62.277791825204602</v>
      </c>
      <c r="H48">
        <v>54.341300012549901</v>
      </c>
      <c r="I48" t="str">
        <f t="shared" si="3"/>
        <v>building</v>
      </c>
      <c r="J48" t="s">
        <v>190</v>
      </c>
      <c r="K48">
        <v>444</v>
      </c>
      <c r="L48">
        <f t="shared" si="2"/>
        <v>92</v>
      </c>
    </row>
    <row r="49" spans="1:12" x14ac:dyDescent="0.2">
      <c r="A49" s="3" t="s">
        <v>171</v>
      </c>
      <c r="B49">
        <v>273.330078125</v>
      </c>
      <c r="C49">
        <v>22.061238343635001</v>
      </c>
      <c r="D49">
        <v>24.3210712128982</v>
      </c>
      <c r="E49">
        <v>29.634247677098202</v>
      </c>
      <c r="F49">
        <v>0.916444749194402</v>
      </c>
      <c r="G49">
        <v>62.517579299981598</v>
      </c>
      <c r="H49">
        <v>54.841780030150197</v>
      </c>
      <c r="I49" t="str">
        <f t="shared" si="3"/>
        <v>building</v>
      </c>
      <c r="J49" t="s">
        <v>190</v>
      </c>
      <c r="K49">
        <v>444</v>
      </c>
      <c r="L49">
        <f t="shared" si="2"/>
        <v>93</v>
      </c>
    </row>
    <row r="50" spans="1:12" x14ac:dyDescent="0.2">
      <c r="A50" s="3" t="s">
        <v>172</v>
      </c>
      <c r="B50">
        <v>300.8251953125</v>
      </c>
      <c r="C50">
        <v>20.044863575127</v>
      </c>
      <c r="D50">
        <v>24.3770128044888</v>
      </c>
      <c r="E50">
        <v>29.690609099832599</v>
      </c>
      <c r="F50">
        <v>0.91821577139292099</v>
      </c>
      <c r="G50">
        <v>62.7652098015134</v>
      </c>
      <c r="H50">
        <v>55.374956614975403</v>
      </c>
      <c r="I50" t="str">
        <f t="shared" si="3"/>
        <v>building</v>
      </c>
      <c r="J50" t="s">
        <v>190</v>
      </c>
      <c r="K50">
        <v>444</v>
      </c>
      <c r="L50">
        <f t="shared" si="2"/>
        <v>94</v>
      </c>
    </row>
    <row r="51" spans="1:12" x14ac:dyDescent="0.2">
      <c r="A51" s="3" t="s">
        <v>173</v>
      </c>
      <c r="B51">
        <v>332.6904296875</v>
      </c>
      <c r="C51">
        <v>18.124957804358999</v>
      </c>
      <c r="D51">
        <v>24.428972745009801</v>
      </c>
      <c r="E51">
        <v>29.742817180289801</v>
      </c>
      <c r="F51">
        <v>0.91981309302332703</v>
      </c>
      <c r="G51">
        <v>62.992440151401098</v>
      </c>
      <c r="H51">
        <v>55.8640045992449</v>
      </c>
      <c r="I51" t="str">
        <f t="shared" si="3"/>
        <v>building</v>
      </c>
      <c r="J51" t="s">
        <v>190</v>
      </c>
      <c r="K51">
        <v>444</v>
      </c>
      <c r="L51">
        <f t="shared" si="2"/>
        <v>95</v>
      </c>
    </row>
    <row r="52" spans="1:12" x14ac:dyDescent="0.2">
      <c r="A52" s="3" t="s">
        <v>174</v>
      </c>
      <c r="B52">
        <v>380.7890625</v>
      </c>
      <c r="C52">
        <v>15.835538868714201</v>
      </c>
      <c r="D52">
        <v>24.4835828294779</v>
      </c>
      <c r="E52">
        <v>29.7979070548894</v>
      </c>
      <c r="F52">
        <v>0.92164297464571199</v>
      </c>
      <c r="G52">
        <v>63.229965197619002</v>
      </c>
      <c r="H52">
        <v>56.433959877120103</v>
      </c>
      <c r="I52" t="str">
        <f t="shared" si="3"/>
        <v>building</v>
      </c>
      <c r="J52" t="s">
        <v>190</v>
      </c>
      <c r="K52">
        <v>444</v>
      </c>
      <c r="L52">
        <f t="shared" si="2"/>
        <v>96</v>
      </c>
    </row>
    <row r="53" spans="1:12" x14ac:dyDescent="0.2">
      <c r="A53" s="3" t="s">
        <v>175</v>
      </c>
      <c r="B53">
        <v>435.404296875</v>
      </c>
      <c r="C53">
        <v>13.8491972708555</v>
      </c>
      <c r="D53">
        <v>24.531637188379602</v>
      </c>
      <c r="E53">
        <v>29.846046727651</v>
      </c>
      <c r="F53">
        <v>0.92326264634634803</v>
      </c>
      <c r="G53">
        <v>63.435632554521099</v>
      </c>
      <c r="H53">
        <v>56.947252389286902</v>
      </c>
      <c r="I53" t="str">
        <f t="shared" si="3"/>
        <v>building</v>
      </c>
      <c r="J53" t="s">
        <v>190</v>
      </c>
      <c r="K53">
        <v>444</v>
      </c>
      <c r="L53">
        <f t="shared" si="2"/>
        <v>97</v>
      </c>
    </row>
    <row r="54" spans="1:12" x14ac:dyDescent="0.2">
      <c r="A54" s="3" t="s">
        <v>176</v>
      </c>
      <c r="B54">
        <v>508.30859375</v>
      </c>
      <c r="C54">
        <v>11.8628724246313</v>
      </c>
      <c r="D54">
        <v>24.578508942395501</v>
      </c>
      <c r="E54">
        <v>29.892953569534001</v>
      </c>
      <c r="F54">
        <v>0.92481443573114797</v>
      </c>
      <c r="G54">
        <v>63.634336392644201</v>
      </c>
      <c r="H54">
        <v>57.446940853508302</v>
      </c>
      <c r="I54" t="str">
        <f t="shared" si="3"/>
        <v>building</v>
      </c>
      <c r="J54" t="s">
        <v>190</v>
      </c>
      <c r="K54">
        <v>444</v>
      </c>
      <c r="L54">
        <f t="shared" si="2"/>
        <v>98</v>
      </c>
    </row>
    <row r="55" spans="1:12" x14ac:dyDescent="0.2">
      <c r="A55" s="3" t="s">
        <v>177</v>
      </c>
      <c r="B55">
        <v>655.853515625</v>
      </c>
      <c r="C55">
        <v>9.1941262131585493</v>
      </c>
      <c r="D55">
        <v>24.614779442082799</v>
      </c>
      <c r="E55">
        <v>29.9292144453239</v>
      </c>
      <c r="F55">
        <v>0.92610154510692699</v>
      </c>
      <c r="G55">
        <v>63.786795795585903</v>
      </c>
      <c r="H55">
        <v>57.867371031423801</v>
      </c>
      <c r="I55" t="str">
        <f t="shared" si="3"/>
        <v>building</v>
      </c>
      <c r="J55" t="s">
        <v>190</v>
      </c>
      <c r="K55">
        <v>444</v>
      </c>
      <c r="L55">
        <f t="shared" si="2"/>
        <v>99</v>
      </c>
    </row>
    <row r="56" spans="1:12" x14ac:dyDescent="0.2">
      <c r="A56" s="3" t="s">
        <v>178</v>
      </c>
      <c r="B56">
        <v>794.4404296875</v>
      </c>
      <c r="C56">
        <v>7.5902481478340098</v>
      </c>
      <c r="D56">
        <v>24.6316851523525</v>
      </c>
      <c r="E56">
        <v>29.946296812831701</v>
      </c>
      <c r="F56">
        <v>0.92682172294713105</v>
      </c>
      <c r="G56">
        <v>63.858272735991598</v>
      </c>
      <c r="H56">
        <v>58.105008691505901</v>
      </c>
      <c r="I56" t="str">
        <f t="shared" si="3"/>
        <v>building</v>
      </c>
      <c r="J56" t="s">
        <v>190</v>
      </c>
      <c r="K56">
        <v>444</v>
      </c>
      <c r="L56">
        <f t="shared" si="2"/>
        <v>100</v>
      </c>
    </row>
    <row r="57" spans="1:12" x14ac:dyDescent="0.2">
      <c r="A57" s="3" t="s">
        <v>179</v>
      </c>
      <c r="B57">
        <v>172.7421875</v>
      </c>
      <c r="C57">
        <v>34.907512098050702</v>
      </c>
      <c r="D57">
        <v>23.117374872323602</v>
      </c>
      <c r="E57">
        <v>30.190658056456002</v>
      </c>
      <c r="F57">
        <v>0.96135805523921802</v>
      </c>
      <c r="G57">
        <v>64.856605434495293</v>
      </c>
      <c r="H57">
        <v>71.820998384170906</v>
      </c>
      <c r="I57" t="str">
        <f t="shared" si="3"/>
        <v>earth</v>
      </c>
      <c r="J57" t="s">
        <v>190</v>
      </c>
      <c r="K57">
        <v>444</v>
      </c>
      <c r="L57">
        <f t="shared" si="2"/>
        <v>90</v>
      </c>
    </row>
    <row r="58" spans="1:12" x14ac:dyDescent="0.2">
      <c r="A58" s="3" t="s">
        <v>180</v>
      </c>
      <c r="B58">
        <v>184.1953125</v>
      </c>
      <c r="C58">
        <v>32.736989438859901</v>
      </c>
      <c r="D58">
        <v>23.1711108410957</v>
      </c>
      <c r="E58">
        <v>30.243888666671602</v>
      </c>
      <c r="F58">
        <v>0.96213160894509897</v>
      </c>
      <c r="G58">
        <v>65.068142738194894</v>
      </c>
      <c r="H58">
        <v>72.187662027859204</v>
      </c>
      <c r="I58" t="str">
        <f t="shared" si="3"/>
        <v>earth</v>
      </c>
      <c r="J58" t="s">
        <v>190</v>
      </c>
      <c r="K58">
        <v>444</v>
      </c>
      <c r="L58">
        <f t="shared" si="2"/>
        <v>91</v>
      </c>
    </row>
    <row r="59" spans="1:12" x14ac:dyDescent="0.2">
      <c r="A59" s="3" t="s">
        <v>181</v>
      </c>
      <c r="B59">
        <v>195.95703125</v>
      </c>
      <c r="C59">
        <v>30.7720522276488</v>
      </c>
      <c r="D59">
        <v>23.226785609874501</v>
      </c>
      <c r="E59">
        <v>30.298934588593902</v>
      </c>
      <c r="F59">
        <v>0.96293822183251199</v>
      </c>
      <c r="G59">
        <v>65.284688072263805</v>
      </c>
      <c r="H59">
        <v>72.573150331256102</v>
      </c>
      <c r="I59" t="str">
        <f t="shared" si="3"/>
        <v>earth</v>
      </c>
      <c r="J59" t="s">
        <v>190</v>
      </c>
      <c r="K59">
        <v>444</v>
      </c>
      <c r="L59">
        <f t="shared" si="2"/>
        <v>92</v>
      </c>
    </row>
    <row r="60" spans="1:12" x14ac:dyDescent="0.2">
      <c r="A60" s="3" t="s">
        <v>182</v>
      </c>
      <c r="B60">
        <v>214.46484375</v>
      </c>
      <c r="C60">
        <v>28.116496366318799</v>
      </c>
      <c r="D60">
        <v>23.286538152479</v>
      </c>
      <c r="E60">
        <v>30.357757811593501</v>
      </c>
      <c r="F60">
        <v>0.963840484259464</v>
      </c>
      <c r="G60">
        <v>65.513631717898605</v>
      </c>
      <c r="H60">
        <v>73.008201314946305</v>
      </c>
      <c r="I60" t="str">
        <f t="shared" si="3"/>
        <v>earth</v>
      </c>
      <c r="J60" t="s">
        <v>190</v>
      </c>
      <c r="K60">
        <v>444</v>
      </c>
      <c r="L60">
        <f t="shared" si="2"/>
        <v>93</v>
      </c>
    </row>
    <row r="61" spans="1:12" x14ac:dyDescent="0.2">
      <c r="A61" s="3" t="s">
        <v>183</v>
      </c>
      <c r="B61">
        <v>238.2099609375</v>
      </c>
      <c r="C61">
        <v>25.313802900048</v>
      </c>
      <c r="D61">
        <v>23.348053389771199</v>
      </c>
      <c r="E61">
        <v>30.418658724880999</v>
      </c>
      <c r="F61">
        <v>0.96476479337087595</v>
      </c>
      <c r="G61">
        <v>65.748005015540102</v>
      </c>
      <c r="H61">
        <v>73.458139941528302</v>
      </c>
      <c r="I61" t="str">
        <f t="shared" si="3"/>
        <v>earth</v>
      </c>
      <c r="J61" t="s">
        <v>190</v>
      </c>
      <c r="K61">
        <v>444</v>
      </c>
      <c r="L61">
        <f t="shared" si="2"/>
        <v>94</v>
      </c>
    </row>
    <row r="62" spans="1:12" x14ac:dyDescent="0.2">
      <c r="A62" s="3" t="s">
        <v>184</v>
      </c>
      <c r="B62">
        <v>265.943359375</v>
      </c>
      <c r="C62">
        <v>22.6740010134912</v>
      </c>
      <c r="D62">
        <v>23.405832495010099</v>
      </c>
      <c r="E62">
        <v>30.475841327370699</v>
      </c>
      <c r="F62">
        <v>0.96566612000609897</v>
      </c>
      <c r="G62">
        <v>65.965630876065703</v>
      </c>
      <c r="H62">
        <v>73.901081677163305</v>
      </c>
      <c r="I62" t="str">
        <f t="shared" si="3"/>
        <v>earth</v>
      </c>
      <c r="J62" t="s">
        <v>190</v>
      </c>
      <c r="K62">
        <v>444</v>
      </c>
      <c r="L62">
        <f t="shared" si="2"/>
        <v>95</v>
      </c>
    </row>
    <row r="63" spans="1:12" x14ac:dyDescent="0.2">
      <c r="A63" s="3" t="s">
        <v>185</v>
      </c>
      <c r="B63">
        <v>308.697265625</v>
      </c>
      <c r="C63">
        <v>19.533700720644301</v>
      </c>
      <c r="D63">
        <v>23.466194172985201</v>
      </c>
      <c r="E63">
        <v>30.5356432897701</v>
      </c>
      <c r="F63">
        <v>0.96667507464390101</v>
      </c>
      <c r="G63">
        <v>66.190725209418105</v>
      </c>
      <c r="H63">
        <v>74.401874697091003</v>
      </c>
      <c r="I63" t="str">
        <f t="shared" si="3"/>
        <v>earth</v>
      </c>
      <c r="J63" t="s">
        <v>190</v>
      </c>
      <c r="K63">
        <v>444</v>
      </c>
      <c r="L63">
        <f t="shared" si="2"/>
        <v>96</v>
      </c>
    </row>
    <row r="64" spans="1:12" x14ac:dyDescent="0.2">
      <c r="A64" s="3" t="s">
        <v>186</v>
      </c>
      <c r="B64">
        <v>358.08203125</v>
      </c>
      <c r="C64">
        <v>16.8397168072085</v>
      </c>
      <c r="D64">
        <v>23.5184325090196</v>
      </c>
      <c r="E64">
        <v>30.587049101573999</v>
      </c>
      <c r="F64">
        <v>0.96761014708092996</v>
      </c>
      <c r="G64">
        <v>66.382194201880907</v>
      </c>
      <c r="H64">
        <v>74.870722327854807</v>
      </c>
      <c r="I64" t="str">
        <f t="shared" si="3"/>
        <v>earth</v>
      </c>
      <c r="J64" t="s">
        <v>190</v>
      </c>
      <c r="K64">
        <v>444</v>
      </c>
      <c r="L64">
        <f t="shared" si="2"/>
        <v>97</v>
      </c>
    </row>
    <row r="65" spans="1:13" x14ac:dyDescent="0.2">
      <c r="A65" s="3" t="s">
        <v>187</v>
      </c>
      <c r="B65">
        <v>426.7822265625</v>
      </c>
      <c r="C65">
        <v>14.128985755963599</v>
      </c>
      <c r="D65">
        <v>23.570443402387699</v>
      </c>
      <c r="E65">
        <v>30.638169189671999</v>
      </c>
      <c r="F65">
        <v>0.96855656621479302</v>
      </c>
      <c r="G65">
        <v>66.570764344895196</v>
      </c>
      <c r="H65">
        <v>75.349937401448003</v>
      </c>
      <c r="I65" t="str">
        <f t="shared" si="3"/>
        <v>earth</v>
      </c>
      <c r="J65" t="s">
        <v>190</v>
      </c>
      <c r="K65">
        <v>444</v>
      </c>
      <c r="L65">
        <f t="shared" si="2"/>
        <v>98</v>
      </c>
    </row>
    <row r="66" spans="1:13" x14ac:dyDescent="0.2">
      <c r="A66" s="3" t="s">
        <v>188</v>
      </c>
      <c r="B66">
        <v>559.453125</v>
      </c>
      <c r="C66">
        <v>10.7783829074152</v>
      </c>
      <c r="D66">
        <v>23.612354172332001</v>
      </c>
      <c r="E66">
        <v>30.678983391937699</v>
      </c>
      <c r="F66">
        <v>0.96945811406942195</v>
      </c>
      <c r="G66">
        <v>66.720017811082698</v>
      </c>
      <c r="H66">
        <v>75.810853437385006</v>
      </c>
      <c r="I66" t="str">
        <f t="shared" si="3"/>
        <v>earth</v>
      </c>
      <c r="J66" t="s">
        <v>190</v>
      </c>
      <c r="K66">
        <v>444</v>
      </c>
      <c r="L66">
        <f t="shared" si="2"/>
        <v>99</v>
      </c>
    </row>
    <row r="67" spans="1:13" x14ac:dyDescent="0.2">
      <c r="A67" s="3" t="s">
        <v>189</v>
      </c>
      <c r="B67">
        <v>681.1025390625</v>
      </c>
      <c r="C67">
        <v>8.8532924988063595</v>
      </c>
      <c r="D67">
        <v>23.632555334984399</v>
      </c>
      <c r="E67">
        <v>30.698718100013</v>
      </c>
      <c r="F67">
        <v>0.96992202835049302</v>
      </c>
      <c r="G67">
        <v>66.791774740029794</v>
      </c>
      <c r="H67">
        <v>76.049724656282507</v>
      </c>
      <c r="I67" t="str">
        <f t="shared" si="3"/>
        <v>earth</v>
      </c>
      <c r="J67" t="s">
        <v>190</v>
      </c>
      <c r="K67">
        <v>444</v>
      </c>
      <c r="L67">
        <f t="shared" si="2"/>
        <v>100</v>
      </c>
    </row>
    <row r="68" spans="1:13" x14ac:dyDescent="0.2">
      <c r="A68" s="3" t="s">
        <v>191</v>
      </c>
      <c r="B68">
        <v>2000.1396484375</v>
      </c>
      <c r="C68">
        <v>3.0372879237436101</v>
      </c>
      <c r="D68">
        <v>38.709878231559202</v>
      </c>
      <c r="E68">
        <v>46.264891507150097</v>
      </c>
      <c r="F68">
        <v>0.99562184638595697</v>
      </c>
      <c r="G68">
        <v>100.79019080133</v>
      </c>
      <c r="H68">
        <v>91.270160382845901</v>
      </c>
      <c r="I68" t="str">
        <f>LEFT(A68,FIND(".ppm",A68)-1)</f>
        <v>bar</v>
      </c>
      <c r="J68" s="3" t="s">
        <v>212</v>
      </c>
      <c r="K68">
        <v>444</v>
      </c>
      <c r="M68">
        <f t="shared" ref="M68:M88" si="4">(((MID(A68,FIND("ppm",A68)+3,1)+0)))+0</f>
        <v>2</v>
      </c>
    </row>
    <row r="69" spans="1:13" x14ac:dyDescent="0.2">
      <c r="A69" s="3" t="s">
        <v>192</v>
      </c>
      <c r="B69">
        <v>1670.080078125</v>
      </c>
      <c r="C69">
        <v>3.63755012683009</v>
      </c>
      <c r="D69">
        <v>36.189446530742103</v>
      </c>
      <c r="E69">
        <v>43.744040268512599</v>
      </c>
      <c r="F69">
        <v>0.99227127164168505</v>
      </c>
      <c r="G69">
        <v>95.831662033162402</v>
      </c>
      <c r="H69">
        <v>89.045789549955302</v>
      </c>
      <c r="I69" t="str">
        <f t="shared" ref="I69:I88" si="5">LEFT(A69,FIND(".ppm",A69)-1)</f>
        <v>bar</v>
      </c>
      <c r="J69" s="3" t="s">
        <v>212</v>
      </c>
      <c r="K69">
        <v>444</v>
      </c>
      <c r="M69">
        <f t="shared" si="4"/>
        <v>3</v>
      </c>
    </row>
    <row r="70" spans="1:13" x14ac:dyDescent="0.2">
      <c r="A70" s="3" t="s">
        <v>193</v>
      </c>
      <c r="B70">
        <v>1469.33203125</v>
      </c>
      <c r="C70">
        <v>4.1345317945813997</v>
      </c>
      <c r="D70">
        <v>34.123730285051998</v>
      </c>
      <c r="E70">
        <v>41.677621921270301</v>
      </c>
      <c r="F70">
        <v>0.987829669746074</v>
      </c>
      <c r="G70">
        <v>91.763224975169294</v>
      </c>
      <c r="H70">
        <v>86.215127596411094</v>
      </c>
      <c r="I70" t="str">
        <f t="shared" si="5"/>
        <v>bar</v>
      </c>
      <c r="J70" s="3" t="s">
        <v>212</v>
      </c>
      <c r="K70">
        <v>444</v>
      </c>
      <c r="M70">
        <f t="shared" si="4"/>
        <v>4</v>
      </c>
    </row>
    <row r="71" spans="1:13" x14ac:dyDescent="0.2">
      <c r="A71" s="3" t="s">
        <v>194</v>
      </c>
      <c r="B71">
        <v>1325.34375</v>
      </c>
      <c r="C71">
        <v>4.58371648864681</v>
      </c>
      <c r="D71">
        <v>32.419753891787401</v>
      </c>
      <c r="E71">
        <v>39.973028473224197</v>
      </c>
      <c r="F71">
        <v>0.982432927291497</v>
      </c>
      <c r="G71">
        <v>88.399069497101394</v>
      </c>
      <c r="H71">
        <v>82.948567471363305</v>
      </c>
      <c r="I71" t="str">
        <f t="shared" si="5"/>
        <v>bar</v>
      </c>
      <c r="J71" s="3" t="s">
        <v>212</v>
      </c>
      <c r="K71">
        <v>444</v>
      </c>
      <c r="M71">
        <f t="shared" si="4"/>
        <v>5</v>
      </c>
    </row>
    <row r="72" spans="1:13" x14ac:dyDescent="0.2">
      <c r="A72" s="3" t="s">
        <v>195</v>
      </c>
      <c r="B72">
        <v>1215.0732421875</v>
      </c>
      <c r="C72">
        <v>4.9996986099892702</v>
      </c>
      <c r="D72">
        <v>30.9758181959178</v>
      </c>
      <c r="E72">
        <v>38.528181862752199</v>
      </c>
      <c r="F72">
        <v>0.97607172339188197</v>
      </c>
      <c r="G72">
        <v>85.532585554011405</v>
      </c>
      <c r="H72">
        <v>79.328077251112703</v>
      </c>
      <c r="I72" t="str">
        <f t="shared" si="5"/>
        <v>bar</v>
      </c>
      <c r="J72" s="3" t="s">
        <v>212</v>
      </c>
      <c r="K72">
        <v>444</v>
      </c>
      <c r="M72">
        <f t="shared" si="4"/>
        <v>6</v>
      </c>
    </row>
    <row r="73" spans="1:13" x14ac:dyDescent="0.2">
      <c r="A73" s="3" t="s">
        <v>196</v>
      </c>
      <c r="B73">
        <v>1117.7099609375</v>
      </c>
      <c r="C73">
        <v>5.4352204170252501</v>
      </c>
      <c r="D73">
        <v>29.783222005029799</v>
      </c>
      <c r="E73">
        <v>37.334934390020202</v>
      </c>
      <c r="F73">
        <v>0.96997291008418596</v>
      </c>
      <c r="G73">
        <v>83.142212032221096</v>
      </c>
      <c r="H73">
        <v>76.075994310527904</v>
      </c>
      <c r="I73" t="str">
        <f t="shared" si="5"/>
        <v>bar</v>
      </c>
      <c r="J73" s="3" t="s">
        <v>212</v>
      </c>
      <c r="K73">
        <v>444</v>
      </c>
      <c r="M73">
        <f t="shared" si="4"/>
        <v>7</v>
      </c>
    </row>
    <row r="74" spans="1:13" x14ac:dyDescent="0.2">
      <c r="A74" s="3" t="s">
        <v>197</v>
      </c>
      <c r="B74">
        <v>1006.74609375</v>
      </c>
      <c r="C74">
        <v>6.03429209978</v>
      </c>
      <c r="D74">
        <v>28.859113360095598</v>
      </c>
      <c r="E74">
        <v>36.409602400368698</v>
      </c>
      <c r="F74">
        <v>0.96455689920907395</v>
      </c>
      <c r="G74">
        <v>81.260963996190299</v>
      </c>
      <c r="H74">
        <v>73.356562673044394</v>
      </c>
      <c r="I74" t="str">
        <f t="shared" si="5"/>
        <v>bar</v>
      </c>
      <c r="J74" s="3" t="s">
        <v>212</v>
      </c>
      <c r="K74">
        <v>444</v>
      </c>
      <c r="M74">
        <f t="shared" si="4"/>
        <v>8</v>
      </c>
    </row>
    <row r="75" spans="1:13" x14ac:dyDescent="0.2">
      <c r="A75" s="3" t="s">
        <v>198</v>
      </c>
      <c r="B75">
        <v>2047.138671875</v>
      </c>
      <c r="C75">
        <v>2.9675566601630501</v>
      </c>
      <c r="D75">
        <v>40.926736849634899</v>
      </c>
      <c r="E75">
        <v>46.245507867434497</v>
      </c>
      <c r="F75">
        <v>0.99234345527982104</v>
      </c>
      <c r="G75">
        <v>100.75207058471899</v>
      </c>
      <c r="H75">
        <v>89.092890840156798</v>
      </c>
      <c r="I75" t="str">
        <f t="shared" si="5"/>
        <v>building</v>
      </c>
      <c r="J75" s="3" t="s">
        <v>212</v>
      </c>
      <c r="K75">
        <v>444</v>
      </c>
      <c r="M75">
        <f t="shared" si="4"/>
        <v>2</v>
      </c>
    </row>
    <row r="76" spans="1:13" x14ac:dyDescent="0.2">
      <c r="A76" s="3" t="s">
        <v>199</v>
      </c>
      <c r="B76">
        <v>1692.5478515625</v>
      </c>
      <c r="C76">
        <v>3.58926336669996</v>
      </c>
      <c r="D76">
        <v>38.416197322051602</v>
      </c>
      <c r="E76">
        <v>43.735145278682701</v>
      </c>
      <c r="F76">
        <v>0.98651138372215197</v>
      </c>
      <c r="G76">
        <v>95.814159958201699</v>
      </c>
      <c r="H76">
        <v>85.400046718323907</v>
      </c>
      <c r="I76" t="str">
        <f t="shared" si="5"/>
        <v>building</v>
      </c>
      <c r="J76" s="3" t="s">
        <v>212</v>
      </c>
      <c r="K76">
        <v>444</v>
      </c>
      <c r="M76">
        <f t="shared" si="4"/>
        <v>3</v>
      </c>
    </row>
    <row r="77" spans="1:13" x14ac:dyDescent="0.2">
      <c r="A77" s="3" t="s">
        <v>200</v>
      </c>
      <c r="B77">
        <v>1470.1181640625</v>
      </c>
      <c r="C77">
        <v>4.13232088991571</v>
      </c>
      <c r="D77">
        <v>36.404681914041703</v>
      </c>
      <c r="E77">
        <v>41.723736308116898</v>
      </c>
      <c r="F77">
        <v>0.97972154045124804</v>
      </c>
      <c r="G77">
        <v>91.854095970041897</v>
      </c>
      <c r="H77">
        <v>81.375841120974897</v>
      </c>
      <c r="I77" t="str">
        <f t="shared" si="5"/>
        <v>building</v>
      </c>
      <c r="J77" s="3" t="s">
        <v>212</v>
      </c>
      <c r="K77">
        <v>444</v>
      </c>
      <c r="M77">
        <f t="shared" si="4"/>
        <v>4</v>
      </c>
    </row>
    <row r="78" spans="1:13" x14ac:dyDescent="0.2">
      <c r="A78" s="3" t="s">
        <v>201</v>
      </c>
      <c r="B78">
        <v>1315.59375</v>
      </c>
      <c r="C78">
        <v>4.6176868809235403</v>
      </c>
      <c r="D78">
        <v>34.747531431888603</v>
      </c>
      <c r="E78">
        <v>40.0664576304288</v>
      </c>
      <c r="F78">
        <v>0.97197717778604298</v>
      </c>
      <c r="G78">
        <v>88.583814293789999</v>
      </c>
      <c r="H78">
        <v>77.121955837592395</v>
      </c>
      <c r="I78" t="str">
        <f t="shared" si="5"/>
        <v>building</v>
      </c>
      <c r="J78" s="3" t="s">
        <v>212</v>
      </c>
      <c r="K78">
        <v>444</v>
      </c>
      <c r="M78">
        <f t="shared" si="4"/>
        <v>5</v>
      </c>
    </row>
    <row r="79" spans="1:13" x14ac:dyDescent="0.2">
      <c r="A79" s="3" t="s">
        <v>202</v>
      </c>
      <c r="B79">
        <v>1201.2373046875</v>
      </c>
      <c r="C79">
        <v>5.0572854974566397</v>
      </c>
      <c r="D79">
        <v>33.347570964326898</v>
      </c>
      <c r="E79">
        <v>38.665991290461598</v>
      </c>
      <c r="F79">
        <v>0.96349085518903999</v>
      </c>
      <c r="G79">
        <v>85.806987044583906</v>
      </c>
      <c r="H79">
        <v>72.839132956646395</v>
      </c>
      <c r="I79" t="str">
        <f t="shared" si="5"/>
        <v>building</v>
      </c>
      <c r="J79" s="3" t="s">
        <v>212</v>
      </c>
      <c r="K79">
        <v>444</v>
      </c>
      <c r="M79">
        <f t="shared" si="4"/>
        <v>6</v>
      </c>
    </row>
    <row r="80" spans="1:13" x14ac:dyDescent="0.2">
      <c r="A80" s="3" t="s">
        <v>203</v>
      </c>
      <c r="B80">
        <v>1115.7333984375</v>
      </c>
      <c r="C80">
        <v>5.4448491086737896</v>
      </c>
      <c r="D80">
        <v>32.123368389092001</v>
      </c>
      <c r="E80">
        <v>37.442560815652797</v>
      </c>
      <c r="F80">
        <v>0.95353925613641299</v>
      </c>
      <c r="G80">
        <v>83.359145101854494</v>
      </c>
      <c r="H80">
        <v>68.275599646185995</v>
      </c>
      <c r="I80" t="str">
        <f t="shared" si="5"/>
        <v>building</v>
      </c>
      <c r="J80" s="3" t="s">
        <v>212</v>
      </c>
      <c r="K80">
        <v>444</v>
      </c>
      <c r="M80">
        <f t="shared" si="4"/>
        <v>7</v>
      </c>
    </row>
    <row r="81" spans="1:13" x14ac:dyDescent="0.2">
      <c r="A81" s="3" t="s">
        <v>204</v>
      </c>
      <c r="B81">
        <v>1032.2197265625</v>
      </c>
      <c r="C81">
        <v>5.8853748321890498</v>
      </c>
      <c r="D81">
        <v>31.101555607570599</v>
      </c>
      <c r="E81">
        <v>36.417989562747103</v>
      </c>
      <c r="F81">
        <v>0.94483213153832202</v>
      </c>
      <c r="G81">
        <v>81.278172459104894</v>
      </c>
      <c r="H81">
        <v>64.650598309458701</v>
      </c>
      <c r="I81" t="str">
        <f t="shared" si="5"/>
        <v>building</v>
      </c>
      <c r="J81" s="3" t="s">
        <v>212</v>
      </c>
      <c r="K81">
        <v>444</v>
      </c>
      <c r="M81">
        <f t="shared" si="4"/>
        <v>8</v>
      </c>
    </row>
    <row r="82" spans="1:13" x14ac:dyDescent="0.2">
      <c r="A82" s="3" t="s">
        <v>205</v>
      </c>
      <c r="B82">
        <v>2025.3046875</v>
      </c>
      <c r="C82">
        <v>2.9995486790182002</v>
      </c>
      <c r="D82">
        <v>39.580664633341499</v>
      </c>
      <c r="E82">
        <v>46.510966569326897</v>
      </c>
      <c r="F82">
        <v>0.99612974776854002</v>
      </c>
      <c r="G82">
        <v>101.274120830783</v>
      </c>
      <c r="H82">
        <v>91.614224507808302</v>
      </c>
      <c r="I82" t="str">
        <f t="shared" si="5"/>
        <v>earth</v>
      </c>
      <c r="J82" s="3" t="s">
        <v>212</v>
      </c>
      <c r="K82">
        <v>444</v>
      </c>
      <c r="M82">
        <f t="shared" si="4"/>
        <v>2</v>
      </c>
    </row>
    <row r="83" spans="1:13" x14ac:dyDescent="0.2">
      <c r="A83" s="3" t="s">
        <v>206</v>
      </c>
      <c r="B83">
        <v>1667.28125</v>
      </c>
      <c r="C83">
        <v>3.64365640170187</v>
      </c>
      <c r="D83">
        <v>37.038841753153399</v>
      </c>
      <c r="E83">
        <v>43.9736553101569</v>
      </c>
      <c r="F83">
        <v>0.99297136638857497</v>
      </c>
      <c r="G83">
        <v>96.283440258534299</v>
      </c>
      <c r="H83">
        <v>89.504124278694903</v>
      </c>
      <c r="I83" t="str">
        <f t="shared" si="5"/>
        <v>earth</v>
      </c>
      <c r="J83" s="3" t="s">
        <v>212</v>
      </c>
      <c r="K83">
        <v>444</v>
      </c>
      <c r="M83">
        <f t="shared" si="4"/>
        <v>3</v>
      </c>
    </row>
    <row r="84" spans="1:13" x14ac:dyDescent="0.2">
      <c r="A84" s="3" t="s">
        <v>207</v>
      </c>
      <c r="B84">
        <v>1438.1796875</v>
      </c>
      <c r="C84">
        <v>4.2240896967194903</v>
      </c>
      <c r="D84">
        <v>34.991437482638602</v>
      </c>
      <c r="E84">
        <v>41.929936300227901</v>
      </c>
      <c r="F84">
        <v>0.98890633042597498</v>
      </c>
      <c r="G84">
        <v>92.260364284434999</v>
      </c>
      <c r="H84">
        <v>86.889226913793706</v>
      </c>
      <c r="I84" t="str">
        <f t="shared" si="5"/>
        <v>earth</v>
      </c>
      <c r="J84" s="3" t="s">
        <v>212</v>
      </c>
      <c r="K84">
        <v>444</v>
      </c>
      <c r="M84">
        <f t="shared" si="4"/>
        <v>4</v>
      </c>
    </row>
    <row r="85" spans="1:13" x14ac:dyDescent="0.2">
      <c r="A85" s="3" t="s">
        <v>208</v>
      </c>
      <c r="B85">
        <v>1282.755859375</v>
      </c>
      <c r="C85">
        <v>4.7358972914455704</v>
      </c>
      <c r="D85">
        <v>33.292551707156299</v>
      </c>
      <c r="E85">
        <v>40.234855049436398</v>
      </c>
      <c r="F85">
        <v>0.98378891365865195</v>
      </c>
      <c r="G85">
        <v>88.916666310913101</v>
      </c>
      <c r="H85">
        <v>83.752021011156103</v>
      </c>
      <c r="I85" t="str">
        <f t="shared" si="5"/>
        <v>earth</v>
      </c>
      <c r="J85" s="3" t="s">
        <v>212</v>
      </c>
      <c r="K85">
        <v>444</v>
      </c>
      <c r="M85">
        <f t="shared" si="4"/>
        <v>5</v>
      </c>
    </row>
    <row r="86" spans="1:13" x14ac:dyDescent="0.2">
      <c r="A86" s="3" t="s">
        <v>209</v>
      </c>
      <c r="B86">
        <v>1167.84375</v>
      </c>
      <c r="C86">
        <v>5.2018945171389603</v>
      </c>
      <c r="D86">
        <v>31.827998093392299</v>
      </c>
      <c r="E86">
        <v>38.774687602032301</v>
      </c>
      <c r="F86">
        <v>0.97739936277920603</v>
      </c>
      <c r="G86">
        <v>86.0232365965837</v>
      </c>
      <c r="H86">
        <v>80.063925096997494</v>
      </c>
      <c r="I86" t="str">
        <f t="shared" si="5"/>
        <v>earth</v>
      </c>
      <c r="J86" s="3" t="s">
        <v>212</v>
      </c>
      <c r="K86">
        <v>444</v>
      </c>
      <c r="M86">
        <f t="shared" si="4"/>
        <v>6</v>
      </c>
    </row>
    <row r="87" spans="1:13" x14ac:dyDescent="0.2">
      <c r="A87" s="3" t="s">
        <v>210</v>
      </c>
      <c r="B87">
        <v>1074.251953125</v>
      </c>
      <c r="C87">
        <v>5.6550979333366103</v>
      </c>
      <c r="D87">
        <v>30.591084637235799</v>
      </c>
      <c r="E87">
        <v>37.542791483713401</v>
      </c>
      <c r="F87">
        <v>0.97025038193547197</v>
      </c>
      <c r="G87">
        <v>83.560888907085598</v>
      </c>
      <c r="H87">
        <v>76.219495609713903</v>
      </c>
      <c r="I87" t="str">
        <f t="shared" si="5"/>
        <v>earth</v>
      </c>
      <c r="J87" s="3" t="s">
        <v>212</v>
      </c>
      <c r="K87">
        <v>444</v>
      </c>
      <c r="M87">
        <f t="shared" si="4"/>
        <v>7</v>
      </c>
    </row>
    <row r="88" spans="1:13" x14ac:dyDescent="0.2">
      <c r="A88" s="3" t="s">
        <v>211</v>
      </c>
      <c r="B88">
        <v>983.0234375</v>
      </c>
      <c r="C88">
        <v>6.1799136910202099</v>
      </c>
      <c r="D88">
        <v>29.600589645738101</v>
      </c>
      <c r="E88">
        <v>36.552705791610499</v>
      </c>
      <c r="F88">
        <v>0.96391594313678697</v>
      </c>
      <c r="G88">
        <v>81.554126393502102</v>
      </c>
      <c r="H88">
        <v>73.044771378011504</v>
      </c>
      <c r="I88" t="str">
        <f t="shared" si="5"/>
        <v>earth</v>
      </c>
      <c r="J88" s="3" t="s">
        <v>212</v>
      </c>
      <c r="K88">
        <v>444</v>
      </c>
      <c r="M88">
        <f t="shared" si="4"/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37"/>
  <sheetViews>
    <sheetView topLeftCell="A298" workbookViewId="0">
      <selection activeCell="L7" sqref="L7"/>
    </sheetView>
  </sheetViews>
  <sheetFormatPr defaultRowHeight="14.25" x14ac:dyDescent="0.2"/>
  <cols>
    <col min="1" max="1" width="21.25" bestFit="1" customWidth="1"/>
    <col min="2" max="2" width="15.375" customWidth="1"/>
    <col min="3" max="4" width="17.625" bestFit="1" customWidth="1"/>
    <col min="5" max="5" width="17.625" style="6" bestFit="1" customWidth="1"/>
    <col min="6" max="6" width="18.75" bestFit="1" customWidth="1"/>
    <col min="7" max="8" width="17.625" bestFit="1" customWidth="1"/>
  </cols>
  <sheetData>
    <row r="1" spans="1:10" x14ac:dyDescent="0.2">
      <c r="A1" s="3" t="s">
        <v>0</v>
      </c>
      <c r="B1" s="3" t="s">
        <v>1</v>
      </c>
      <c r="C1" s="3" t="s">
        <v>2</v>
      </c>
      <c r="D1" s="3" t="s">
        <v>3</v>
      </c>
      <c r="E1" s="6" t="s">
        <v>4</v>
      </c>
      <c r="F1" s="3" t="s">
        <v>5</v>
      </c>
      <c r="G1" s="3" t="s">
        <v>6</v>
      </c>
      <c r="H1" s="3" t="s">
        <v>7</v>
      </c>
      <c r="I1" s="3" t="s">
        <v>678</v>
      </c>
      <c r="J1" s="3" t="s">
        <v>979</v>
      </c>
    </row>
    <row r="2" spans="1:10" x14ac:dyDescent="0.2">
      <c r="A2" s="3" t="s">
        <v>679</v>
      </c>
      <c r="B2">
        <v>374.423828125</v>
      </c>
      <c r="C2">
        <v>16.224928927257999</v>
      </c>
      <c r="D2">
        <v>29.460354979950498</v>
      </c>
      <c r="E2" s="6">
        <v>37.0168454698901</v>
      </c>
      <c r="F2">
        <v>0.97886525548505998</v>
      </c>
      <c r="G2">
        <v>82.499041730239796</v>
      </c>
      <c r="H2">
        <v>80.888366154787903</v>
      </c>
      <c r="I2" t="str">
        <f>MID(A2,1,(FIND(".ppm",A2))-1)</f>
        <v>bar</v>
      </c>
      <c r="J2" t="s">
        <v>980</v>
      </c>
    </row>
    <row r="3" spans="1:10" x14ac:dyDescent="0.2">
      <c r="A3" s="3" t="s">
        <v>680</v>
      </c>
      <c r="B3">
        <v>390.318359375</v>
      </c>
      <c r="C3">
        <v>15.564217911060201</v>
      </c>
      <c r="D3">
        <v>29.615299045312099</v>
      </c>
      <c r="E3" s="6">
        <v>37.170466956173897</v>
      </c>
      <c r="F3">
        <v>0.97941317205841905</v>
      </c>
      <c r="G3">
        <v>82.810059320378798</v>
      </c>
      <c r="H3">
        <v>81.199786071652596</v>
      </c>
      <c r="I3" t="str">
        <f t="shared" ref="I3:I66" si="0">MID(A3,1,(FIND(".ppm",A3))-1)</f>
        <v>bar</v>
      </c>
      <c r="J3" t="s">
        <v>980</v>
      </c>
    </row>
    <row r="4" spans="1:10" x14ac:dyDescent="0.2">
      <c r="A4" s="3" t="s">
        <v>681</v>
      </c>
      <c r="B4">
        <v>403.2841796875</v>
      </c>
      <c r="C4">
        <v>15.0638192767875</v>
      </c>
      <c r="D4">
        <v>29.739442319846098</v>
      </c>
      <c r="E4" s="6">
        <v>37.294701082817099</v>
      </c>
      <c r="F4">
        <v>0.97976834877390895</v>
      </c>
      <c r="G4">
        <v>83.061032886325606</v>
      </c>
      <c r="H4">
        <v>81.402614871695107</v>
      </c>
      <c r="I4" t="str">
        <f t="shared" si="0"/>
        <v>bar</v>
      </c>
      <c r="J4" t="s">
        <v>980</v>
      </c>
    </row>
    <row r="5" spans="1:10" x14ac:dyDescent="0.2">
      <c r="A5" s="3" t="s">
        <v>682</v>
      </c>
      <c r="B5">
        <v>421.95703125</v>
      </c>
      <c r="C5">
        <v>14.397200544338601</v>
      </c>
      <c r="D5">
        <v>29.8956296557784</v>
      </c>
      <c r="E5" s="6">
        <v>37.4508579384417</v>
      </c>
      <c r="F5">
        <v>0.98029813395861498</v>
      </c>
      <c r="G5">
        <v>83.375855622101398</v>
      </c>
      <c r="H5">
        <v>81.706561833991103</v>
      </c>
      <c r="I5" t="str">
        <f t="shared" si="0"/>
        <v>bar</v>
      </c>
      <c r="J5" t="s">
        <v>980</v>
      </c>
    </row>
    <row r="6" spans="1:10" x14ac:dyDescent="0.2">
      <c r="A6" s="3" t="s">
        <v>683</v>
      </c>
      <c r="B6">
        <v>437.1396484375</v>
      </c>
      <c r="C6">
        <v>13.897160831131</v>
      </c>
      <c r="D6">
        <v>30.043910804066801</v>
      </c>
      <c r="E6" s="6">
        <v>37.599831608751401</v>
      </c>
      <c r="F6">
        <v>0.98077197251416104</v>
      </c>
      <c r="G6">
        <v>83.675583341831</v>
      </c>
      <c r="H6">
        <v>81.979843792482399</v>
      </c>
      <c r="I6" t="str">
        <f t="shared" si="0"/>
        <v>bar</v>
      </c>
      <c r="J6" t="s">
        <v>980</v>
      </c>
    </row>
    <row r="7" spans="1:10" x14ac:dyDescent="0.2">
      <c r="A7" s="3" t="s">
        <v>684</v>
      </c>
      <c r="B7">
        <v>456.0732421875</v>
      </c>
      <c r="C7">
        <v>13.3202289414349</v>
      </c>
      <c r="D7">
        <v>30.213572814104701</v>
      </c>
      <c r="E7" s="6">
        <v>37.7693833305105</v>
      </c>
      <c r="F7">
        <v>0.98127722390361305</v>
      </c>
      <c r="G7">
        <v>84.016046479472493</v>
      </c>
      <c r="H7">
        <v>82.272741046742993</v>
      </c>
      <c r="I7" t="str">
        <f t="shared" si="0"/>
        <v>bar</v>
      </c>
      <c r="J7" t="s">
        <v>980</v>
      </c>
    </row>
    <row r="8" spans="1:10" x14ac:dyDescent="0.2">
      <c r="A8" s="3" t="s">
        <v>685</v>
      </c>
      <c r="B8">
        <v>480.083984375</v>
      </c>
      <c r="C8">
        <v>12.654035955623</v>
      </c>
      <c r="D8">
        <v>30.410965143307401</v>
      </c>
      <c r="E8" s="6">
        <v>37.966630301653602</v>
      </c>
      <c r="F8">
        <v>0.98187212382324796</v>
      </c>
      <c r="G8">
        <v>84.411311364147494</v>
      </c>
      <c r="H8">
        <v>82.619601465811002</v>
      </c>
      <c r="I8" t="str">
        <f t="shared" si="0"/>
        <v>bar</v>
      </c>
      <c r="J8" t="s">
        <v>980</v>
      </c>
    </row>
    <row r="9" spans="1:10" x14ac:dyDescent="0.2">
      <c r="A9" s="3" t="s">
        <v>686</v>
      </c>
      <c r="B9">
        <v>501.763671875</v>
      </c>
      <c r="C9">
        <v>12.107293414245801</v>
      </c>
      <c r="D9">
        <v>30.5918003519505</v>
      </c>
      <c r="E9" s="6">
        <v>38.145312257971</v>
      </c>
      <c r="F9">
        <v>0.98234883297144604</v>
      </c>
      <c r="G9">
        <v>84.768694113883697</v>
      </c>
      <c r="H9">
        <v>82.899114643780905</v>
      </c>
      <c r="I9" t="str">
        <f t="shared" si="0"/>
        <v>bar</v>
      </c>
      <c r="J9" t="s">
        <v>980</v>
      </c>
    </row>
    <row r="10" spans="1:10" x14ac:dyDescent="0.2">
      <c r="A10" s="3" t="s">
        <v>687</v>
      </c>
      <c r="B10">
        <v>535.8984375</v>
      </c>
      <c r="C10">
        <v>11.33610321452</v>
      </c>
      <c r="D10">
        <v>30.828608756505801</v>
      </c>
      <c r="E10" s="6">
        <v>38.382559387626898</v>
      </c>
      <c r="F10">
        <v>0.98303630587997004</v>
      </c>
      <c r="G10">
        <v>85.242323622398104</v>
      </c>
      <c r="H10">
        <v>83.304673674042306</v>
      </c>
      <c r="I10" t="str">
        <f t="shared" si="0"/>
        <v>bar</v>
      </c>
      <c r="J10" t="s">
        <v>980</v>
      </c>
    </row>
    <row r="11" spans="1:10" x14ac:dyDescent="0.2">
      <c r="A11" s="3" t="s">
        <v>688</v>
      </c>
      <c r="B11">
        <v>562.8564453125</v>
      </c>
      <c r="C11">
        <v>10.7931605840049</v>
      </c>
      <c r="D11">
        <v>31.064866272537898</v>
      </c>
      <c r="E11" s="6">
        <v>38.618617049114498</v>
      </c>
      <c r="F11">
        <v>0.98369730767866703</v>
      </c>
      <c r="G11">
        <v>85.712687158072598</v>
      </c>
      <c r="H11">
        <v>83.697381930410998</v>
      </c>
      <c r="I11" t="str">
        <f t="shared" si="0"/>
        <v>bar</v>
      </c>
      <c r="J11" t="s">
        <v>980</v>
      </c>
    </row>
    <row r="12" spans="1:10" x14ac:dyDescent="0.2">
      <c r="A12" s="3" t="s">
        <v>122</v>
      </c>
      <c r="B12">
        <v>608.0390625</v>
      </c>
      <c r="C12">
        <v>9.9911344100528101</v>
      </c>
      <c r="D12">
        <v>31.379444812677001</v>
      </c>
      <c r="E12" s="6">
        <v>38.934487748944498</v>
      </c>
      <c r="F12">
        <v>0.98461262691310703</v>
      </c>
      <c r="G12">
        <v>86.340885133231893</v>
      </c>
      <c r="H12">
        <v>84.245695328419302</v>
      </c>
      <c r="I12" t="str">
        <f t="shared" si="0"/>
        <v>bar</v>
      </c>
      <c r="J12" t="s">
        <v>980</v>
      </c>
    </row>
    <row r="13" spans="1:10" x14ac:dyDescent="0.2">
      <c r="A13" s="3" t="s">
        <v>123</v>
      </c>
      <c r="B13">
        <v>652.46484375</v>
      </c>
      <c r="C13">
        <v>9.3108464895737892</v>
      </c>
      <c r="D13">
        <v>31.720718591564701</v>
      </c>
      <c r="E13" s="6">
        <v>39.275729484284902</v>
      </c>
      <c r="F13">
        <v>0.98554567530745996</v>
      </c>
      <c r="G13">
        <v>87.018236079462397</v>
      </c>
      <c r="H13">
        <v>84.810071289642806</v>
      </c>
      <c r="I13" t="str">
        <f t="shared" si="0"/>
        <v>bar</v>
      </c>
      <c r="J13" t="s">
        <v>980</v>
      </c>
    </row>
    <row r="14" spans="1:10" x14ac:dyDescent="0.2">
      <c r="A14" s="3" t="s">
        <v>124</v>
      </c>
      <c r="B14">
        <v>693.5908203125</v>
      </c>
      <c r="C14">
        <v>8.7587664399348402</v>
      </c>
      <c r="D14">
        <v>32.092948766808199</v>
      </c>
      <c r="E14" s="6">
        <v>39.647678849843999</v>
      </c>
      <c r="F14">
        <v>0.98646239595114504</v>
      </c>
      <c r="G14">
        <v>87.755269111518302</v>
      </c>
      <c r="H14">
        <v>85.369974787267907</v>
      </c>
      <c r="I14" t="str">
        <f t="shared" si="0"/>
        <v>bar</v>
      </c>
      <c r="J14" t="s">
        <v>980</v>
      </c>
    </row>
    <row r="15" spans="1:10" x14ac:dyDescent="0.2">
      <c r="A15" s="3" t="s">
        <v>125</v>
      </c>
      <c r="B15">
        <v>764.2216796875</v>
      </c>
      <c r="C15">
        <v>7.94926414870113</v>
      </c>
      <c r="D15">
        <v>32.592452843639201</v>
      </c>
      <c r="E15" s="6">
        <v>40.1467797314778</v>
      </c>
      <c r="F15">
        <v>0.98767901244366896</v>
      </c>
      <c r="G15">
        <v>88.742598557298606</v>
      </c>
      <c r="H15">
        <v>86.121406521149297</v>
      </c>
      <c r="I15" t="str">
        <f t="shared" si="0"/>
        <v>bar</v>
      </c>
      <c r="J15" t="s">
        <v>980</v>
      </c>
    </row>
    <row r="16" spans="1:10" x14ac:dyDescent="0.2">
      <c r="A16" s="3" t="s">
        <v>126</v>
      </c>
      <c r="B16">
        <v>854.2939453125</v>
      </c>
      <c r="C16">
        <v>7.1111354977211896</v>
      </c>
      <c r="D16">
        <v>33.249406181719202</v>
      </c>
      <c r="E16" s="6">
        <v>40.803797120446198</v>
      </c>
      <c r="F16">
        <v>0.98914796024149199</v>
      </c>
      <c r="G16">
        <v>90.040141078150796</v>
      </c>
      <c r="H16">
        <v>87.041560784299193</v>
      </c>
      <c r="I16" t="str">
        <f t="shared" si="0"/>
        <v>bar</v>
      </c>
      <c r="J16" t="s">
        <v>980</v>
      </c>
    </row>
    <row r="17" spans="1:10" x14ac:dyDescent="0.2">
      <c r="A17" s="3" t="s">
        <v>127</v>
      </c>
      <c r="B17">
        <v>950.904296875</v>
      </c>
      <c r="C17">
        <v>6.3886555355408001</v>
      </c>
      <c r="D17">
        <v>34.037613724776399</v>
      </c>
      <c r="E17" s="6">
        <v>41.591859500892497</v>
      </c>
      <c r="F17">
        <v>0.99071165778838899</v>
      </c>
      <c r="G17">
        <v>91.594211309573694</v>
      </c>
      <c r="H17">
        <v>88.0367749079264</v>
      </c>
      <c r="I17" t="str">
        <f t="shared" si="0"/>
        <v>bar</v>
      </c>
      <c r="J17" t="s">
        <v>980</v>
      </c>
    </row>
    <row r="18" spans="1:10" x14ac:dyDescent="0.2">
      <c r="A18" s="3" t="s">
        <v>689</v>
      </c>
      <c r="B18">
        <v>585.076171875</v>
      </c>
      <c r="C18">
        <v>10.3832633971939</v>
      </c>
      <c r="D18">
        <v>25.394923707827701</v>
      </c>
      <c r="E18" s="6">
        <v>33.090861005334297</v>
      </c>
      <c r="F18">
        <v>0.93326102602886096</v>
      </c>
      <c r="G18">
        <v>73.918326409495407</v>
      </c>
      <c r="H18">
        <v>60.308596014364397</v>
      </c>
      <c r="I18" t="str">
        <f t="shared" si="0"/>
        <v>boston</v>
      </c>
      <c r="J18" t="s">
        <v>980</v>
      </c>
    </row>
    <row r="19" spans="1:10" x14ac:dyDescent="0.2">
      <c r="A19" s="3" t="s">
        <v>690</v>
      </c>
      <c r="B19">
        <v>606.814453125</v>
      </c>
      <c r="C19">
        <v>10.0112974711045</v>
      </c>
      <c r="D19">
        <v>25.633790267593</v>
      </c>
      <c r="E19" s="6">
        <v>33.329023050504802</v>
      </c>
      <c r="F19">
        <v>0.93564887181063305</v>
      </c>
      <c r="G19">
        <v>74.505186661942403</v>
      </c>
      <c r="H19">
        <v>61.163077567593497</v>
      </c>
      <c r="I19" t="str">
        <f t="shared" si="0"/>
        <v>boston</v>
      </c>
      <c r="J19" t="s">
        <v>980</v>
      </c>
    </row>
    <row r="20" spans="1:10" x14ac:dyDescent="0.2">
      <c r="A20" s="3" t="s">
        <v>691</v>
      </c>
      <c r="B20">
        <v>628.138671875</v>
      </c>
      <c r="C20">
        <v>9.6714312810355505</v>
      </c>
      <c r="D20">
        <v>25.870506152004602</v>
      </c>
      <c r="E20" s="6">
        <v>33.565748163387397</v>
      </c>
      <c r="F20">
        <v>0.93791453706702499</v>
      </c>
      <c r="G20">
        <v>75.074575132693198</v>
      </c>
      <c r="H20">
        <v>61.993299796453599</v>
      </c>
      <c r="I20" t="str">
        <f t="shared" si="0"/>
        <v>boston</v>
      </c>
      <c r="J20" t="s">
        <v>980</v>
      </c>
    </row>
    <row r="21" spans="1:10" x14ac:dyDescent="0.2">
      <c r="A21" s="3" t="s">
        <v>692</v>
      </c>
      <c r="B21">
        <v>654.7744140625</v>
      </c>
      <c r="C21">
        <v>9.2780045608503592</v>
      </c>
      <c r="D21">
        <v>26.125966937150299</v>
      </c>
      <c r="E21" s="6">
        <v>33.821194484206799</v>
      </c>
      <c r="F21">
        <v>0.94035912722544401</v>
      </c>
      <c r="G21">
        <v>75.675176622981397</v>
      </c>
      <c r="H21">
        <v>62.910910682596302</v>
      </c>
      <c r="I21" t="str">
        <f t="shared" si="0"/>
        <v>boston</v>
      </c>
      <c r="J21" t="s">
        <v>980</v>
      </c>
    </row>
    <row r="22" spans="1:10" x14ac:dyDescent="0.2">
      <c r="A22" s="3" t="s">
        <v>693</v>
      </c>
      <c r="B22">
        <v>678.12890625</v>
      </c>
      <c r="C22">
        <v>8.9584737415107103</v>
      </c>
      <c r="D22">
        <v>26.406453942312002</v>
      </c>
      <c r="E22" s="6">
        <v>34.102138549576999</v>
      </c>
      <c r="F22">
        <v>0.94291482525413395</v>
      </c>
      <c r="G22">
        <v>76.321179680082906</v>
      </c>
      <c r="H22">
        <v>63.895110655617799</v>
      </c>
      <c r="I22" t="str">
        <f t="shared" si="0"/>
        <v>boston</v>
      </c>
      <c r="J22" t="s">
        <v>980</v>
      </c>
    </row>
    <row r="23" spans="1:10" x14ac:dyDescent="0.2">
      <c r="A23" s="3" t="s">
        <v>694</v>
      </c>
      <c r="B23">
        <v>706.0751953125</v>
      </c>
      <c r="C23">
        <v>8.6038994717995703</v>
      </c>
      <c r="D23">
        <v>26.719494712738499</v>
      </c>
      <c r="E23" s="6">
        <v>34.415083710117003</v>
      </c>
      <c r="F23">
        <v>0.94570922523433598</v>
      </c>
      <c r="G23">
        <v>77.025243388087603</v>
      </c>
      <c r="H23">
        <v>65.001198798545403</v>
      </c>
      <c r="I23" t="str">
        <f t="shared" si="0"/>
        <v>boston</v>
      </c>
      <c r="J23" t="s">
        <v>980</v>
      </c>
    </row>
    <row r="24" spans="1:10" x14ac:dyDescent="0.2">
      <c r="A24" s="3" t="s">
        <v>695</v>
      </c>
      <c r="B24">
        <v>739.5244140625</v>
      </c>
      <c r="C24">
        <v>8.2147389382692904</v>
      </c>
      <c r="D24">
        <v>27.068813034232601</v>
      </c>
      <c r="E24" s="6">
        <v>34.764178362169503</v>
      </c>
      <c r="F24">
        <v>0.94860968234169796</v>
      </c>
      <c r="G24">
        <v>77.794244893766106</v>
      </c>
      <c r="H24">
        <v>66.183398185994093</v>
      </c>
      <c r="I24" t="str">
        <f t="shared" si="0"/>
        <v>boston</v>
      </c>
      <c r="J24" t="s">
        <v>980</v>
      </c>
    </row>
    <row r="25" spans="1:10" x14ac:dyDescent="0.2">
      <c r="A25" s="3" t="s">
        <v>696</v>
      </c>
      <c r="B25">
        <v>770.322265625</v>
      </c>
      <c r="C25">
        <v>7.8863097577363401</v>
      </c>
      <c r="D25">
        <v>27.428505332405098</v>
      </c>
      <c r="E25" s="6">
        <v>35.123052864205697</v>
      </c>
      <c r="F25">
        <v>0.95135900533196605</v>
      </c>
      <c r="G25">
        <v>78.569737006302702</v>
      </c>
      <c r="H25">
        <v>67.337109450358597</v>
      </c>
      <c r="I25" t="str">
        <f t="shared" si="0"/>
        <v>boston</v>
      </c>
      <c r="J25" t="s">
        <v>980</v>
      </c>
    </row>
    <row r="26" spans="1:10" x14ac:dyDescent="0.2">
      <c r="A26" s="3" t="s">
        <v>697</v>
      </c>
      <c r="B26">
        <v>816.1318359375</v>
      </c>
      <c r="C26">
        <v>7.4436503178700004</v>
      </c>
      <c r="D26">
        <v>27.869228079103699</v>
      </c>
      <c r="E26" s="6">
        <v>35.564087227115202</v>
      </c>
      <c r="F26">
        <v>0.95479161654263001</v>
      </c>
      <c r="G26">
        <v>79.505738643516295</v>
      </c>
      <c r="H26">
        <v>68.824327457209804</v>
      </c>
      <c r="I26" t="str">
        <f t="shared" si="0"/>
        <v>boston</v>
      </c>
      <c r="J26" t="s">
        <v>980</v>
      </c>
    </row>
    <row r="27" spans="1:10" x14ac:dyDescent="0.2">
      <c r="A27" s="3" t="s">
        <v>698</v>
      </c>
      <c r="B27">
        <v>849.296875</v>
      </c>
      <c r="C27">
        <v>7.1529758071934504</v>
      </c>
      <c r="D27">
        <v>28.312735455571101</v>
      </c>
      <c r="E27" s="6">
        <v>36.007722831550801</v>
      </c>
      <c r="F27">
        <v>0.95796717809947596</v>
      </c>
      <c r="G27">
        <v>80.432124102600199</v>
      </c>
      <c r="H27">
        <v>70.248049872554503</v>
      </c>
      <c r="I27" t="str">
        <f t="shared" si="0"/>
        <v>boston</v>
      </c>
      <c r="J27" t="s">
        <v>980</v>
      </c>
    </row>
    <row r="28" spans="1:10" x14ac:dyDescent="0.2">
      <c r="A28" s="3" t="s">
        <v>699</v>
      </c>
      <c r="B28">
        <v>908.77734375</v>
      </c>
      <c r="C28">
        <v>6.6848057357283803</v>
      </c>
      <c r="D28">
        <v>28.860018286098502</v>
      </c>
      <c r="E28" s="6">
        <v>36.555575884872503</v>
      </c>
      <c r="F28">
        <v>0.96176392568074698</v>
      </c>
      <c r="G28">
        <v>81.559996512329406</v>
      </c>
      <c r="H28">
        <v>72.013012771428293</v>
      </c>
      <c r="I28" t="str">
        <f t="shared" si="0"/>
        <v>boston</v>
      </c>
      <c r="J28" t="s">
        <v>980</v>
      </c>
    </row>
    <row r="29" spans="1:10" x14ac:dyDescent="0.2">
      <c r="A29" s="3" t="s">
        <v>700</v>
      </c>
      <c r="B29">
        <v>960.4658203125</v>
      </c>
      <c r="C29">
        <v>6.3250558963393599</v>
      </c>
      <c r="D29">
        <v>29.414598021965499</v>
      </c>
      <c r="E29" s="6">
        <v>37.110354343789901</v>
      </c>
      <c r="F29">
        <v>0.96530795773115596</v>
      </c>
      <c r="G29">
        <v>82.688449274530299</v>
      </c>
      <c r="H29">
        <v>73.724570796015499</v>
      </c>
      <c r="I29" t="str">
        <f t="shared" si="0"/>
        <v>boston</v>
      </c>
      <c r="J29" t="s">
        <v>980</v>
      </c>
    </row>
    <row r="30" spans="1:10" x14ac:dyDescent="0.2">
      <c r="A30" s="3" t="s">
        <v>701</v>
      </c>
      <c r="B30">
        <v>1015.6376953125</v>
      </c>
      <c r="C30">
        <v>5.9814636932422998</v>
      </c>
      <c r="D30">
        <v>30.104581591242798</v>
      </c>
      <c r="E30" s="6">
        <v>37.800566710369701</v>
      </c>
      <c r="F30">
        <v>0.969299341109779</v>
      </c>
      <c r="G30">
        <v>84.078590976908004</v>
      </c>
      <c r="H30">
        <v>75.729365926413493</v>
      </c>
      <c r="I30" t="str">
        <f t="shared" si="0"/>
        <v>boston</v>
      </c>
      <c r="J30" t="s">
        <v>980</v>
      </c>
    </row>
    <row r="31" spans="1:10" x14ac:dyDescent="0.2">
      <c r="A31" s="3" t="s">
        <v>702</v>
      </c>
      <c r="B31">
        <v>1097.7333984375</v>
      </c>
      <c r="C31">
        <v>5.5341306082579598</v>
      </c>
      <c r="D31">
        <v>30.850312573150902</v>
      </c>
      <c r="E31" s="6">
        <v>38.546509946525703</v>
      </c>
      <c r="F31">
        <v>0.97333769483354504</v>
      </c>
      <c r="G31">
        <v>85.569095416827196</v>
      </c>
      <c r="H31">
        <v>77.844545931217695</v>
      </c>
      <c r="I31" t="str">
        <f t="shared" si="0"/>
        <v>boston</v>
      </c>
      <c r="J31" t="s">
        <v>980</v>
      </c>
    </row>
    <row r="32" spans="1:10" x14ac:dyDescent="0.2">
      <c r="A32" s="3" t="s">
        <v>703</v>
      </c>
      <c r="B32">
        <v>1202.1279296875</v>
      </c>
      <c r="C32">
        <v>5.0535386874999499</v>
      </c>
      <c r="D32">
        <v>31.7818765666111</v>
      </c>
      <c r="E32" s="6">
        <v>39.478519497319901</v>
      </c>
      <c r="F32">
        <v>0.97786661015429799</v>
      </c>
      <c r="G32">
        <v>87.420220839719605</v>
      </c>
      <c r="H32">
        <v>80.325340084900702</v>
      </c>
      <c r="I32" t="str">
        <f t="shared" si="0"/>
        <v>boston</v>
      </c>
      <c r="J32" t="s">
        <v>980</v>
      </c>
    </row>
    <row r="33" spans="1:10" x14ac:dyDescent="0.2">
      <c r="A33" s="3" t="s">
        <v>704</v>
      </c>
      <c r="B33">
        <v>1317.75390625</v>
      </c>
      <c r="C33">
        <v>4.6101172390282903</v>
      </c>
      <c r="D33">
        <v>32.791262819563102</v>
      </c>
      <c r="E33" s="6">
        <v>40.488302639362601</v>
      </c>
      <c r="F33">
        <v>0.98209591219333403</v>
      </c>
      <c r="G33">
        <v>89.417333691850402</v>
      </c>
      <c r="H33">
        <v>82.750643449747898</v>
      </c>
      <c r="I33" t="str">
        <f t="shared" si="0"/>
        <v>boston</v>
      </c>
      <c r="J33" t="s">
        <v>980</v>
      </c>
    </row>
    <row r="34" spans="1:10" x14ac:dyDescent="0.2">
      <c r="A34" s="3" t="s">
        <v>705</v>
      </c>
      <c r="B34">
        <v>260.900390625</v>
      </c>
      <c r="C34">
        <v>23.2847485795136</v>
      </c>
      <c r="D34">
        <v>30.9530231322797</v>
      </c>
      <c r="E34" s="6">
        <v>39.795919438577698</v>
      </c>
      <c r="F34">
        <v>0.98188150829463505</v>
      </c>
      <c r="G34">
        <v>88.048700385331202</v>
      </c>
      <c r="H34">
        <v>82.625090485868697</v>
      </c>
      <c r="I34" t="str">
        <f t="shared" si="0"/>
        <v>bottle</v>
      </c>
      <c r="J34" t="s">
        <v>980</v>
      </c>
    </row>
    <row r="35" spans="1:10" x14ac:dyDescent="0.2">
      <c r="A35" s="3" t="s">
        <v>706</v>
      </c>
      <c r="B35">
        <v>269.6865234375</v>
      </c>
      <c r="C35">
        <v>22.5261534116216</v>
      </c>
      <c r="D35">
        <v>31.147332845904799</v>
      </c>
      <c r="E35" s="6">
        <v>39.986784216869097</v>
      </c>
      <c r="F35">
        <v>0.98237293958282401</v>
      </c>
      <c r="G35">
        <v>88.426273281305399</v>
      </c>
      <c r="H35">
        <v>82.913286414341698</v>
      </c>
      <c r="I35" t="str">
        <f t="shared" si="0"/>
        <v>bottle</v>
      </c>
      <c r="J35" t="s">
        <v>980</v>
      </c>
    </row>
    <row r="36" spans="1:10" x14ac:dyDescent="0.2">
      <c r="A36" s="3" t="s">
        <v>707</v>
      </c>
      <c r="B36">
        <v>277.7548828125</v>
      </c>
      <c r="C36">
        <v>21.8718027149894</v>
      </c>
      <c r="D36">
        <v>31.3286924744842</v>
      </c>
      <c r="E36" s="6">
        <v>40.168685611788597</v>
      </c>
      <c r="F36">
        <v>0.98284314927762895</v>
      </c>
      <c r="G36">
        <v>88.785896429079003</v>
      </c>
      <c r="H36">
        <v>83.190430011083393</v>
      </c>
      <c r="I36" t="str">
        <f t="shared" si="0"/>
        <v>bottle</v>
      </c>
      <c r="J36" t="s">
        <v>980</v>
      </c>
    </row>
    <row r="37" spans="1:10" x14ac:dyDescent="0.2">
      <c r="A37" s="3" t="s">
        <v>708</v>
      </c>
      <c r="B37">
        <v>289.1494140625</v>
      </c>
      <c r="C37">
        <v>21.0098990506233</v>
      </c>
      <c r="D37">
        <v>31.5400264206861</v>
      </c>
      <c r="E37" s="6">
        <v>40.379989784540498</v>
      </c>
      <c r="F37">
        <v>0.98348011635620802</v>
      </c>
      <c r="G37">
        <v>89.203410135025095</v>
      </c>
      <c r="H37">
        <v>83.568045989421506</v>
      </c>
      <c r="I37" t="str">
        <f t="shared" si="0"/>
        <v>bottle</v>
      </c>
      <c r="J37" t="s">
        <v>980</v>
      </c>
    </row>
    <row r="38" spans="1:10" x14ac:dyDescent="0.2">
      <c r="A38" s="3" t="s">
        <v>709</v>
      </c>
      <c r="B38">
        <v>297.7080078125</v>
      </c>
      <c r="C38">
        <v>20.405900548789099</v>
      </c>
      <c r="D38">
        <v>31.7634784154492</v>
      </c>
      <c r="E38" s="6">
        <v>40.606415789460797</v>
      </c>
      <c r="F38">
        <v>0.98410957108515495</v>
      </c>
      <c r="G38">
        <v>89.650548888305906</v>
      </c>
      <c r="H38">
        <v>83.943693364514502</v>
      </c>
      <c r="I38" t="str">
        <f t="shared" si="0"/>
        <v>bottle</v>
      </c>
      <c r="J38" t="s">
        <v>980</v>
      </c>
    </row>
    <row r="39" spans="1:10" x14ac:dyDescent="0.2">
      <c r="A39" s="3" t="s">
        <v>710</v>
      </c>
      <c r="B39">
        <v>309.1982421875</v>
      </c>
      <c r="C39">
        <v>19.647589058142401</v>
      </c>
      <c r="D39">
        <v>32.011111512396603</v>
      </c>
      <c r="E39" s="6">
        <v>40.854051718871503</v>
      </c>
      <c r="F39">
        <v>0.98485587579114997</v>
      </c>
      <c r="G39">
        <v>90.139308008541803</v>
      </c>
      <c r="H39">
        <v>84.392298395236807</v>
      </c>
      <c r="I39" t="str">
        <f t="shared" si="0"/>
        <v>bottle</v>
      </c>
      <c r="J39" t="s">
        <v>980</v>
      </c>
    </row>
    <row r="40" spans="1:10" x14ac:dyDescent="0.2">
      <c r="A40" s="3" t="s">
        <v>711</v>
      </c>
      <c r="B40">
        <v>322.1494140625</v>
      </c>
      <c r="C40">
        <v>18.8577092951701</v>
      </c>
      <c r="D40">
        <v>32.266921969637899</v>
      </c>
      <c r="E40" s="6">
        <v>41.109592462598101</v>
      </c>
      <c r="F40">
        <v>0.98553558155101295</v>
      </c>
      <c r="G40">
        <v>90.643416697327297</v>
      </c>
      <c r="H40">
        <v>84.803936257164395</v>
      </c>
      <c r="I40" t="str">
        <f t="shared" si="0"/>
        <v>bottle</v>
      </c>
      <c r="J40" t="s">
        <v>980</v>
      </c>
    </row>
    <row r="41" spans="1:10" x14ac:dyDescent="0.2">
      <c r="A41" s="3" t="s">
        <v>712</v>
      </c>
      <c r="B41">
        <v>333.8583984375</v>
      </c>
      <c r="C41">
        <v>18.196337214914401</v>
      </c>
      <c r="D41">
        <v>32.496571664805103</v>
      </c>
      <c r="E41" s="6">
        <v>41.335913746257297</v>
      </c>
      <c r="F41">
        <v>0.98588430458323595</v>
      </c>
      <c r="G41">
        <v>91.089697530313501</v>
      </c>
      <c r="H41">
        <v>85.016268519840693</v>
      </c>
      <c r="I41" t="str">
        <f t="shared" si="0"/>
        <v>bottle</v>
      </c>
      <c r="J41" t="s">
        <v>980</v>
      </c>
    </row>
    <row r="42" spans="1:10" x14ac:dyDescent="0.2">
      <c r="A42" s="3" t="s">
        <v>713</v>
      </c>
      <c r="B42">
        <v>354.466796875</v>
      </c>
      <c r="C42">
        <v>17.1384176277089</v>
      </c>
      <c r="D42">
        <v>32.8063876726372</v>
      </c>
      <c r="E42" s="6">
        <v>41.646477501393001</v>
      </c>
      <c r="F42">
        <v>0.98658370634829096</v>
      </c>
      <c r="G42">
        <v>91.701850197592407</v>
      </c>
      <c r="H42">
        <v>85.444471376812999</v>
      </c>
      <c r="I42" t="str">
        <f t="shared" si="0"/>
        <v>bottle</v>
      </c>
      <c r="J42" t="s">
        <v>980</v>
      </c>
    </row>
    <row r="43" spans="1:10" x14ac:dyDescent="0.2">
      <c r="A43" s="3" t="s">
        <v>714</v>
      </c>
      <c r="B43">
        <v>368.0615234375</v>
      </c>
      <c r="C43">
        <v>16.505392748643501</v>
      </c>
      <c r="D43">
        <v>33.098853103318902</v>
      </c>
      <c r="E43" s="6">
        <v>41.939125747141198</v>
      </c>
      <c r="F43">
        <v>0.987206896596173</v>
      </c>
      <c r="G43">
        <v>92.278467730487705</v>
      </c>
      <c r="H43">
        <v>85.828669564034698</v>
      </c>
      <c r="I43" t="str">
        <f t="shared" si="0"/>
        <v>bottle</v>
      </c>
      <c r="J43" t="s">
        <v>980</v>
      </c>
    </row>
    <row r="44" spans="1:10" x14ac:dyDescent="0.2">
      <c r="A44" s="3" t="s">
        <v>715</v>
      </c>
      <c r="B44">
        <v>393.2353515625</v>
      </c>
      <c r="C44">
        <v>15.4487636369958</v>
      </c>
      <c r="D44">
        <v>33.503863429945199</v>
      </c>
      <c r="E44" s="6">
        <v>42.346507702768797</v>
      </c>
      <c r="F44">
        <v>0.98832871388238097</v>
      </c>
      <c r="G44">
        <v>93.080853930179103</v>
      </c>
      <c r="H44">
        <v>86.526633580678705</v>
      </c>
      <c r="I44" t="str">
        <f t="shared" si="0"/>
        <v>bottle</v>
      </c>
      <c r="J44" t="s">
        <v>980</v>
      </c>
    </row>
    <row r="45" spans="1:10" x14ac:dyDescent="0.2">
      <c r="A45" s="3" t="s">
        <v>716</v>
      </c>
      <c r="B45">
        <v>418.673828125</v>
      </c>
      <c r="C45">
        <v>14.5101021174561</v>
      </c>
      <c r="D45">
        <v>33.893019286458198</v>
      </c>
      <c r="E45" s="6">
        <v>42.735787104847503</v>
      </c>
      <c r="F45">
        <v>0.989092457510375</v>
      </c>
      <c r="G45">
        <v>93.847322868369304</v>
      </c>
      <c r="H45">
        <v>87.006535293911796</v>
      </c>
      <c r="I45" t="str">
        <f t="shared" si="0"/>
        <v>bottle</v>
      </c>
      <c r="J45" t="s">
        <v>980</v>
      </c>
    </row>
    <row r="46" spans="1:10" x14ac:dyDescent="0.2">
      <c r="A46" s="3" t="s">
        <v>717</v>
      </c>
      <c r="B46">
        <v>438.671875</v>
      </c>
      <c r="C46">
        <v>13.848619768477301</v>
      </c>
      <c r="D46">
        <v>34.286407835877597</v>
      </c>
      <c r="E46" s="6">
        <v>43.129114363103497</v>
      </c>
      <c r="F46">
        <v>0.98967324661141298</v>
      </c>
      <c r="G46">
        <v>94.621554201335499</v>
      </c>
      <c r="H46">
        <v>87.374059301568906</v>
      </c>
      <c r="I46" t="str">
        <f t="shared" si="0"/>
        <v>bottle</v>
      </c>
      <c r="J46" t="s">
        <v>980</v>
      </c>
    </row>
    <row r="47" spans="1:10" x14ac:dyDescent="0.2">
      <c r="A47" s="3" t="s">
        <v>718</v>
      </c>
      <c r="B47">
        <v>484.2880859375</v>
      </c>
      <c r="C47">
        <v>12.5441863560195</v>
      </c>
      <c r="D47">
        <v>34.790821097379002</v>
      </c>
      <c r="E47" s="6">
        <v>43.633326130642203</v>
      </c>
      <c r="F47">
        <v>0.99046760629515895</v>
      </c>
      <c r="G47">
        <v>95.613812882595596</v>
      </c>
      <c r="H47">
        <v>87.880371142660593</v>
      </c>
      <c r="I47" t="str">
        <f t="shared" si="0"/>
        <v>bottle</v>
      </c>
      <c r="J47" t="s">
        <v>980</v>
      </c>
    </row>
    <row r="48" spans="1:10" x14ac:dyDescent="0.2">
      <c r="A48" s="3" t="s">
        <v>719</v>
      </c>
      <c r="B48">
        <v>537.9755859375</v>
      </c>
      <c r="C48">
        <v>11.292333999531699</v>
      </c>
      <c r="D48">
        <v>35.379285966041103</v>
      </c>
      <c r="E48" s="6">
        <v>44.222102758006599</v>
      </c>
      <c r="F48">
        <v>0.99133380592158604</v>
      </c>
      <c r="G48">
        <v>96.772232738683599</v>
      </c>
      <c r="H48">
        <v>88.437303847819507</v>
      </c>
      <c r="I48" t="str">
        <f t="shared" si="0"/>
        <v>bottle</v>
      </c>
      <c r="J48" t="s">
        <v>980</v>
      </c>
    </row>
    <row r="49" spans="1:10" x14ac:dyDescent="0.2">
      <c r="A49" s="3" t="s">
        <v>720</v>
      </c>
      <c r="B49">
        <v>602.6123046875</v>
      </c>
      <c r="C49">
        <v>10.0811084552121</v>
      </c>
      <c r="D49">
        <v>36.029695863334901</v>
      </c>
      <c r="E49" s="6">
        <v>44.872576342288703</v>
      </c>
      <c r="F49">
        <v>0.99218924974568601</v>
      </c>
      <c r="G49">
        <v>98.051809409446307</v>
      </c>
      <c r="H49">
        <v>88.992311885565897</v>
      </c>
      <c r="I49" t="str">
        <f t="shared" si="0"/>
        <v>bottle</v>
      </c>
      <c r="J49" t="s">
        <v>980</v>
      </c>
    </row>
    <row r="50" spans="1:10" x14ac:dyDescent="0.2">
      <c r="A50" s="3" t="s">
        <v>721</v>
      </c>
      <c r="B50">
        <v>469.251953125</v>
      </c>
      <c r="C50">
        <v>12.946136845128301</v>
      </c>
      <c r="D50">
        <v>30.406056242249701</v>
      </c>
      <c r="E50" s="6">
        <v>35.721416729456301</v>
      </c>
      <c r="F50">
        <v>0.97108050685209102</v>
      </c>
      <c r="G50">
        <v>79.835821056305804</v>
      </c>
      <c r="H50">
        <v>76.651305520208993</v>
      </c>
      <c r="I50" t="str">
        <f t="shared" si="0"/>
        <v>building</v>
      </c>
      <c r="J50" t="s">
        <v>980</v>
      </c>
    </row>
    <row r="51" spans="1:10" x14ac:dyDescent="0.2">
      <c r="A51" s="3" t="s">
        <v>722</v>
      </c>
      <c r="B51">
        <v>485.1708984375</v>
      </c>
      <c r="C51">
        <v>12.521361070016001</v>
      </c>
      <c r="D51">
        <v>30.631584368706299</v>
      </c>
      <c r="E51" s="6">
        <v>35.945488190717903</v>
      </c>
      <c r="F51">
        <v>0.97229700889900605</v>
      </c>
      <c r="G51">
        <v>80.302952870550399</v>
      </c>
      <c r="H51">
        <v>77.290900314179197</v>
      </c>
      <c r="I51" t="str">
        <f t="shared" si="0"/>
        <v>building</v>
      </c>
      <c r="J51" t="s">
        <v>980</v>
      </c>
    </row>
    <row r="52" spans="1:10" x14ac:dyDescent="0.2">
      <c r="A52" s="3" t="s">
        <v>723</v>
      </c>
      <c r="B52">
        <v>499.578125</v>
      </c>
      <c r="C52">
        <v>12.1602602195603</v>
      </c>
      <c r="D52">
        <v>30.8480144619679</v>
      </c>
      <c r="E52" s="6">
        <v>36.162041766156001</v>
      </c>
      <c r="F52">
        <v>0.97338661505206003</v>
      </c>
      <c r="G52">
        <v>80.751431780378596</v>
      </c>
      <c r="H52">
        <v>77.870719993440801</v>
      </c>
      <c r="I52" t="str">
        <f t="shared" si="0"/>
        <v>building</v>
      </c>
      <c r="J52" t="s">
        <v>980</v>
      </c>
    </row>
    <row r="53" spans="1:10" x14ac:dyDescent="0.2">
      <c r="A53" s="3" t="s">
        <v>724</v>
      </c>
      <c r="B53">
        <v>519.5966796875</v>
      </c>
      <c r="C53">
        <v>11.6917606241319</v>
      </c>
      <c r="D53">
        <v>31.093820095814301</v>
      </c>
      <c r="E53" s="6">
        <v>36.408408829018597</v>
      </c>
      <c r="F53">
        <v>0.97462462607397204</v>
      </c>
      <c r="G53">
        <v>81.258514796417401</v>
      </c>
      <c r="H53">
        <v>78.537575260051398</v>
      </c>
      <c r="I53" t="str">
        <f t="shared" si="0"/>
        <v>building</v>
      </c>
      <c r="J53" t="s">
        <v>980</v>
      </c>
    </row>
    <row r="54" spans="1:10" x14ac:dyDescent="0.2">
      <c r="A54" s="3" t="s">
        <v>725</v>
      </c>
      <c r="B54">
        <v>535.5205078125</v>
      </c>
      <c r="C54">
        <v>11.344103374892599</v>
      </c>
      <c r="D54">
        <v>31.346670737677702</v>
      </c>
      <c r="E54" s="6">
        <v>36.662246728475097</v>
      </c>
      <c r="F54">
        <v>0.97589814097209604</v>
      </c>
      <c r="G54">
        <v>81.777912635482807</v>
      </c>
      <c r="H54">
        <v>79.232622083970199</v>
      </c>
      <c r="I54" t="str">
        <f t="shared" si="0"/>
        <v>building</v>
      </c>
      <c r="J54" t="s">
        <v>980</v>
      </c>
    </row>
    <row r="55" spans="1:10" x14ac:dyDescent="0.2">
      <c r="A55" s="3" t="s">
        <v>726</v>
      </c>
      <c r="B55">
        <v>556.4111328125</v>
      </c>
      <c r="C55">
        <v>10.918185567734101</v>
      </c>
      <c r="D55">
        <v>31.641786764682902</v>
      </c>
      <c r="E55" s="6">
        <v>36.957461152453597</v>
      </c>
      <c r="F55">
        <v>0.97727474241451495</v>
      </c>
      <c r="G55">
        <v>82.378600451825506</v>
      </c>
      <c r="H55">
        <v>79.994418331102693</v>
      </c>
      <c r="I55" t="str">
        <f t="shared" si="0"/>
        <v>building</v>
      </c>
      <c r="J55" t="s">
        <v>980</v>
      </c>
    </row>
    <row r="56" spans="1:10" x14ac:dyDescent="0.2">
      <c r="A56" s="3" t="s">
        <v>727</v>
      </c>
      <c r="B56">
        <v>579.4765625</v>
      </c>
      <c r="C56">
        <v>10.483599153330699</v>
      </c>
      <c r="D56">
        <v>31.956169204191401</v>
      </c>
      <c r="E56" s="6">
        <v>37.270527051997597</v>
      </c>
      <c r="F56">
        <v>0.97854492940716598</v>
      </c>
      <c r="G56">
        <v>83.012233886374403</v>
      </c>
      <c r="H56">
        <v>80.707127937182094</v>
      </c>
      <c r="I56" t="str">
        <f t="shared" si="0"/>
        <v>building</v>
      </c>
      <c r="J56" t="s">
        <v>980</v>
      </c>
    </row>
    <row r="57" spans="1:10" x14ac:dyDescent="0.2">
      <c r="A57" s="3" t="s">
        <v>728</v>
      </c>
      <c r="B57">
        <v>601.171875</v>
      </c>
      <c r="C57">
        <v>10.105263157894701</v>
      </c>
      <c r="D57">
        <v>32.277396596889801</v>
      </c>
      <c r="E57" s="6">
        <v>37.5895549172389</v>
      </c>
      <c r="F57">
        <v>0.97976471985340996</v>
      </c>
      <c r="G57">
        <v>83.654925330123007</v>
      </c>
      <c r="H57">
        <v>81.400538707094299</v>
      </c>
      <c r="I57" t="str">
        <f t="shared" si="0"/>
        <v>building</v>
      </c>
      <c r="J57" t="s">
        <v>980</v>
      </c>
    </row>
    <row r="58" spans="1:10" x14ac:dyDescent="0.2">
      <c r="A58" s="3" t="s">
        <v>729</v>
      </c>
      <c r="B58">
        <v>633.30859375</v>
      </c>
      <c r="C58">
        <v>9.5924799694066998</v>
      </c>
      <c r="D58">
        <v>32.6702143508723</v>
      </c>
      <c r="E58" s="6">
        <v>37.982804158054897</v>
      </c>
      <c r="F58">
        <v>0.98113831151245601</v>
      </c>
      <c r="G58">
        <v>84.443686309447202</v>
      </c>
      <c r="H58">
        <v>82.192058113542998</v>
      </c>
      <c r="I58" t="str">
        <f t="shared" si="0"/>
        <v>building</v>
      </c>
      <c r="J58" t="s">
        <v>980</v>
      </c>
    </row>
    <row r="59" spans="1:10" x14ac:dyDescent="0.2">
      <c r="A59" s="3" t="s">
        <v>730</v>
      </c>
      <c r="B59">
        <v>657.5751953125</v>
      </c>
      <c r="C59">
        <v>9.2384871620848994</v>
      </c>
      <c r="D59">
        <v>33.053447979601003</v>
      </c>
      <c r="E59" s="6">
        <v>38.366238835889597</v>
      </c>
      <c r="F59">
        <v>0.98238704284464196</v>
      </c>
      <c r="G59">
        <v>85.209772142028896</v>
      </c>
      <c r="H59">
        <v>82.9215790858525</v>
      </c>
      <c r="I59" t="str">
        <f t="shared" si="0"/>
        <v>building</v>
      </c>
      <c r="J59" t="s">
        <v>980</v>
      </c>
    </row>
    <row r="60" spans="1:10" x14ac:dyDescent="0.2">
      <c r="A60" s="3" t="s">
        <v>133</v>
      </c>
      <c r="B60">
        <v>699.2529296875</v>
      </c>
      <c r="C60">
        <v>8.6878434713386898</v>
      </c>
      <c r="D60">
        <v>33.538552621459203</v>
      </c>
      <c r="E60" s="6">
        <v>38.854516417543699</v>
      </c>
      <c r="F60">
        <v>0.98395208678658996</v>
      </c>
      <c r="G60">
        <v>86.181958159124605</v>
      </c>
      <c r="H60">
        <v>83.849476919975999</v>
      </c>
      <c r="I60" t="str">
        <f t="shared" si="0"/>
        <v>building</v>
      </c>
      <c r="J60" t="s">
        <v>980</v>
      </c>
    </row>
    <row r="61" spans="1:10" x14ac:dyDescent="0.2">
      <c r="A61" s="3" t="s">
        <v>134</v>
      </c>
      <c r="B61">
        <v>737.490234375</v>
      </c>
      <c r="C61">
        <v>8.2373972112978198</v>
      </c>
      <c r="D61">
        <v>34.021337749919901</v>
      </c>
      <c r="E61" s="6">
        <v>39.337443328983397</v>
      </c>
      <c r="F61">
        <v>0.98529329824850798</v>
      </c>
      <c r="G61">
        <v>87.140609441924994</v>
      </c>
      <c r="H61">
        <v>84.656870014929197</v>
      </c>
      <c r="I61" t="str">
        <f t="shared" si="0"/>
        <v>building</v>
      </c>
      <c r="J61" t="s">
        <v>980</v>
      </c>
    </row>
    <row r="62" spans="1:10" x14ac:dyDescent="0.2">
      <c r="A62" s="3" t="s">
        <v>135</v>
      </c>
      <c r="B62">
        <v>773.029296875</v>
      </c>
      <c r="C62">
        <v>7.8586930981250198</v>
      </c>
      <c r="D62">
        <v>34.574065596066703</v>
      </c>
      <c r="E62" s="6">
        <v>39.890260417389499</v>
      </c>
      <c r="F62">
        <v>0.98654166349483496</v>
      </c>
      <c r="G62">
        <v>88.235358646971704</v>
      </c>
      <c r="H62">
        <v>85.418642171441903</v>
      </c>
      <c r="I62" t="str">
        <f t="shared" si="0"/>
        <v>building</v>
      </c>
      <c r="J62" t="s">
        <v>980</v>
      </c>
    </row>
    <row r="63" spans="1:10" x14ac:dyDescent="0.2">
      <c r="A63" s="3" t="s">
        <v>136</v>
      </c>
      <c r="B63">
        <v>839.802734375</v>
      </c>
      <c r="C63">
        <v>7.2338416527318801</v>
      </c>
      <c r="D63">
        <v>35.193758251070903</v>
      </c>
      <c r="E63" s="6">
        <v>40.508929018909299</v>
      </c>
      <c r="F63">
        <v>0.98788719008314396</v>
      </c>
      <c r="G63">
        <v>89.458065343006197</v>
      </c>
      <c r="H63">
        <v>86.250949003694998</v>
      </c>
      <c r="I63" t="str">
        <f t="shared" si="0"/>
        <v>building</v>
      </c>
      <c r="J63" t="s">
        <v>980</v>
      </c>
    </row>
    <row r="64" spans="1:10" x14ac:dyDescent="0.2">
      <c r="A64" s="3" t="s">
        <v>137</v>
      </c>
      <c r="B64">
        <v>921.0361328125</v>
      </c>
      <c r="C64">
        <v>6.5958324365073704</v>
      </c>
      <c r="D64">
        <v>35.945618260939</v>
      </c>
      <c r="E64" s="6">
        <v>41.261328875960302</v>
      </c>
      <c r="F64">
        <v>0.98929740293025303</v>
      </c>
      <c r="G64">
        <v>90.942642187351495</v>
      </c>
      <c r="H64">
        <v>87.135969368812098</v>
      </c>
      <c r="I64" t="str">
        <f t="shared" si="0"/>
        <v>building</v>
      </c>
      <c r="J64" t="s">
        <v>980</v>
      </c>
    </row>
    <row r="65" spans="1:10" x14ac:dyDescent="0.2">
      <c r="A65" s="3" t="s">
        <v>138</v>
      </c>
      <c r="B65">
        <v>1014.048828125</v>
      </c>
      <c r="C65">
        <v>5.9908357778321397</v>
      </c>
      <c r="D65">
        <v>36.769023406641601</v>
      </c>
      <c r="E65" s="6">
        <v>42.085080365133997</v>
      </c>
      <c r="F65">
        <v>0.99065175008092998</v>
      </c>
      <c r="G65">
        <v>92.565978727137605</v>
      </c>
      <c r="H65">
        <v>87.998345127555893</v>
      </c>
      <c r="I65" t="str">
        <f t="shared" si="0"/>
        <v>building</v>
      </c>
      <c r="J65" t="s">
        <v>980</v>
      </c>
    </row>
    <row r="66" spans="1:10" x14ac:dyDescent="0.2">
      <c r="A66" s="3" t="s">
        <v>731</v>
      </c>
      <c r="B66">
        <v>238.888671875</v>
      </c>
      <c r="C66">
        <v>25.4302556597526</v>
      </c>
      <c r="D66">
        <v>32.270729938680397</v>
      </c>
      <c r="E66" s="6">
        <v>38.829962628177597</v>
      </c>
      <c r="F66">
        <v>0.95205039035032801</v>
      </c>
      <c r="G66">
        <v>86.133146939076696</v>
      </c>
      <c r="H66">
        <v>67.632429328918306</v>
      </c>
      <c r="I66" t="str">
        <f t="shared" si="0"/>
        <v>camera</v>
      </c>
      <c r="J66" t="s">
        <v>980</v>
      </c>
    </row>
    <row r="67" spans="1:10" x14ac:dyDescent="0.2">
      <c r="A67" s="3" t="s">
        <v>732</v>
      </c>
      <c r="B67">
        <v>250.7109375</v>
      </c>
      <c r="C67">
        <v>24.231092829765402</v>
      </c>
      <c r="D67">
        <v>32.3816786004897</v>
      </c>
      <c r="E67" s="6">
        <v>38.937742155737197</v>
      </c>
      <c r="F67">
        <v>0.95291573591706802</v>
      </c>
      <c r="G67">
        <v>86.347351011868795</v>
      </c>
      <c r="H67">
        <v>68.005041434687897</v>
      </c>
      <c r="I67" t="str">
        <f t="shared" ref="I67:I130" si="1">MID(A67,1,(FIND(".ppm",A67))-1)</f>
        <v>camera</v>
      </c>
      <c r="J67" t="s">
        <v>980</v>
      </c>
    </row>
    <row r="68" spans="1:10" x14ac:dyDescent="0.2">
      <c r="A68" s="3" t="s">
        <v>733</v>
      </c>
      <c r="B68">
        <v>259.302734375</v>
      </c>
      <c r="C68">
        <v>23.4282141861814</v>
      </c>
      <c r="D68">
        <v>32.469174513796702</v>
      </c>
      <c r="E68" s="6">
        <v>39.025523587545401</v>
      </c>
      <c r="F68">
        <v>0.95357698362070598</v>
      </c>
      <c r="G68">
        <v>86.521710026497601</v>
      </c>
      <c r="H68">
        <v>68.292026436900599</v>
      </c>
      <c r="I68" t="str">
        <f t="shared" si="1"/>
        <v>camera</v>
      </c>
      <c r="J68" t="s">
        <v>980</v>
      </c>
    </row>
    <row r="69" spans="1:10" x14ac:dyDescent="0.2">
      <c r="A69" s="3" t="s">
        <v>734</v>
      </c>
      <c r="B69">
        <v>273.8828125</v>
      </c>
      <c r="C69">
        <v>22.181019482557002</v>
      </c>
      <c r="D69">
        <v>32.58720350742</v>
      </c>
      <c r="E69" s="6">
        <v>39.143652459065997</v>
      </c>
      <c r="F69">
        <v>0.95456906492463001</v>
      </c>
      <c r="G69">
        <v>86.756213808707699</v>
      </c>
      <c r="H69">
        <v>68.726294902799495</v>
      </c>
      <c r="I69" t="str">
        <f t="shared" si="1"/>
        <v>camera</v>
      </c>
      <c r="J69" t="s">
        <v>980</v>
      </c>
    </row>
    <row r="70" spans="1:10" x14ac:dyDescent="0.2">
      <c r="A70" s="3" t="s">
        <v>735</v>
      </c>
      <c r="B70">
        <v>284.4521484375</v>
      </c>
      <c r="C70">
        <v>21.356843438764901</v>
      </c>
      <c r="D70">
        <v>32.704689260166703</v>
      </c>
      <c r="E70" s="6">
        <v>39.263039938501997</v>
      </c>
      <c r="F70">
        <v>0.95553088887321802</v>
      </c>
      <c r="G70">
        <v>86.993069283534396</v>
      </c>
      <c r="H70">
        <v>69.151598785220997</v>
      </c>
      <c r="I70" t="str">
        <f t="shared" si="1"/>
        <v>camera</v>
      </c>
      <c r="J70" t="s">
        <v>980</v>
      </c>
    </row>
    <row r="71" spans="1:10" x14ac:dyDescent="0.2">
      <c r="A71" s="3" t="s">
        <v>736</v>
      </c>
      <c r="B71">
        <v>296.1708984375</v>
      </c>
      <c r="C71">
        <v>20.511805960847902</v>
      </c>
      <c r="D71">
        <v>32.8215887259569</v>
      </c>
      <c r="E71" s="6">
        <v>39.379958083888603</v>
      </c>
      <c r="F71">
        <v>0.95642155965799602</v>
      </c>
      <c r="G71">
        <v>87.224891991931898</v>
      </c>
      <c r="H71">
        <v>69.549236993969998</v>
      </c>
      <c r="I71" t="str">
        <f t="shared" si="1"/>
        <v>camera</v>
      </c>
      <c r="J71" t="s">
        <v>980</v>
      </c>
    </row>
    <row r="72" spans="1:10" x14ac:dyDescent="0.2">
      <c r="A72" s="3" t="s">
        <v>737</v>
      </c>
      <c r="B72">
        <v>314.7802734375</v>
      </c>
      <c r="C72">
        <v>19.299176322769799</v>
      </c>
      <c r="D72">
        <v>32.966758886981999</v>
      </c>
      <c r="E72" s="6">
        <v>39.5250501547482</v>
      </c>
      <c r="F72">
        <v>0.95753951356336198</v>
      </c>
      <c r="G72">
        <v>87.512406019690104</v>
      </c>
      <c r="H72">
        <v>70.053569695928701</v>
      </c>
      <c r="I72" t="str">
        <f t="shared" si="1"/>
        <v>camera</v>
      </c>
      <c r="J72" t="s">
        <v>980</v>
      </c>
    </row>
    <row r="73" spans="1:10" x14ac:dyDescent="0.2">
      <c r="A73" s="3" t="s">
        <v>738</v>
      </c>
      <c r="B73">
        <v>328.8837890625</v>
      </c>
      <c r="C73">
        <v>18.471570208179301</v>
      </c>
      <c r="D73">
        <v>33.075578751531197</v>
      </c>
      <c r="E73" s="6">
        <v>39.630196421822198</v>
      </c>
      <c r="F73">
        <v>0.95822282724545005</v>
      </c>
      <c r="G73">
        <v>87.720652940443301</v>
      </c>
      <c r="H73">
        <v>70.364718931437906</v>
      </c>
      <c r="I73" t="str">
        <f t="shared" si="1"/>
        <v>camera</v>
      </c>
      <c r="J73" t="s">
        <v>980</v>
      </c>
    </row>
    <row r="74" spans="1:10" x14ac:dyDescent="0.2">
      <c r="A74" s="3" t="s">
        <v>739</v>
      </c>
      <c r="B74">
        <v>354.3603515625</v>
      </c>
      <c r="C74">
        <v>17.143565788929799</v>
      </c>
      <c r="D74">
        <v>33.253927941373597</v>
      </c>
      <c r="E74" s="6">
        <v>39.809469287028797</v>
      </c>
      <c r="F74">
        <v>0.95961830446137197</v>
      </c>
      <c r="G74">
        <v>88.075513262680602</v>
      </c>
      <c r="H74">
        <v>71.007050413292106</v>
      </c>
      <c r="I74" t="str">
        <f t="shared" si="1"/>
        <v>camera</v>
      </c>
      <c r="J74" t="s">
        <v>980</v>
      </c>
    </row>
    <row r="75" spans="1:10" x14ac:dyDescent="0.2">
      <c r="A75" s="3" t="s">
        <v>740</v>
      </c>
      <c r="B75">
        <v>373.8447265625</v>
      </c>
      <c r="C75">
        <v>16.250062040086998</v>
      </c>
      <c r="D75">
        <v>33.414668640544598</v>
      </c>
      <c r="E75" s="6">
        <v>39.9701537787098</v>
      </c>
      <c r="F75">
        <v>0.96084152823758995</v>
      </c>
      <c r="G75">
        <v>88.393384257978099</v>
      </c>
      <c r="H75">
        <v>71.577801839372796</v>
      </c>
      <c r="I75" t="str">
        <f t="shared" si="1"/>
        <v>camera</v>
      </c>
      <c r="J75" t="s">
        <v>980</v>
      </c>
    </row>
    <row r="76" spans="1:10" x14ac:dyDescent="0.2">
      <c r="A76" s="3" t="s">
        <v>741</v>
      </c>
      <c r="B76">
        <v>408.5166015625</v>
      </c>
      <c r="C76">
        <v>14.8708766712644</v>
      </c>
      <c r="D76">
        <v>33.662664115680599</v>
      </c>
      <c r="E76" s="6">
        <v>40.220868926893701</v>
      </c>
      <c r="F76">
        <v>0.96281305210412704</v>
      </c>
      <c r="G76">
        <v>88.889027767026704</v>
      </c>
      <c r="H76">
        <v>72.513118243671698</v>
      </c>
      <c r="I76" t="str">
        <f t="shared" si="1"/>
        <v>camera</v>
      </c>
      <c r="J76" t="s">
        <v>980</v>
      </c>
    </row>
    <row r="77" spans="1:10" x14ac:dyDescent="0.2">
      <c r="A77" s="3" t="s">
        <v>742</v>
      </c>
      <c r="B77">
        <v>443.654296875</v>
      </c>
      <c r="C77">
        <v>13.6930940211577</v>
      </c>
      <c r="D77">
        <v>33.909617882867401</v>
      </c>
      <c r="E77" s="6">
        <v>40.468081313881697</v>
      </c>
      <c r="F77">
        <v>0.96464714227999504</v>
      </c>
      <c r="G77">
        <v>89.377399921836997</v>
      </c>
      <c r="H77">
        <v>73.400628507030703</v>
      </c>
      <c r="I77" t="str">
        <f t="shared" si="1"/>
        <v>camera</v>
      </c>
      <c r="J77" t="s">
        <v>980</v>
      </c>
    </row>
    <row r="78" spans="1:10" x14ac:dyDescent="0.2">
      <c r="A78" s="3" t="s">
        <v>743</v>
      </c>
      <c r="B78">
        <v>478.38671875</v>
      </c>
      <c r="C78">
        <v>12.6989311406338</v>
      </c>
      <c r="D78">
        <v>34.183302885177497</v>
      </c>
      <c r="E78" s="6">
        <v>40.741579440667401</v>
      </c>
      <c r="F78">
        <v>0.96658792766468105</v>
      </c>
      <c r="G78">
        <v>89.917353359274799</v>
      </c>
      <c r="H78">
        <v>74.358411359204894</v>
      </c>
      <c r="I78" t="str">
        <f t="shared" si="1"/>
        <v>camera</v>
      </c>
      <c r="J78" t="s">
        <v>980</v>
      </c>
    </row>
    <row r="79" spans="1:10" x14ac:dyDescent="0.2">
      <c r="A79" s="3" t="s">
        <v>744</v>
      </c>
      <c r="B79">
        <v>539.0556640625</v>
      </c>
      <c r="C79">
        <v>11.269708130356699</v>
      </c>
      <c r="D79">
        <v>34.584934661088397</v>
      </c>
      <c r="E79" s="6">
        <v>41.142558438582199</v>
      </c>
      <c r="F79">
        <v>0.96932058131307097</v>
      </c>
      <c r="G79">
        <v>90.708432292220195</v>
      </c>
      <c r="H79">
        <v>75.740259276669306</v>
      </c>
      <c r="I79" t="str">
        <f t="shared" si="1"/>
        <v>camera</v>
      </c>
      <c r="J79" t="s">
        <v>980</v>
      </c>
    </row>
    <row r="80" spans="1:10" x14ac:dyDescent="0.2">
      <c r="A80" s="3" t="s">
        <v>745</v>
      </c>
      <c r="B80">
        <v>618.4150390625</v>
      </c>
      <c r="C80">
        <v>9.8234997797102892</v>
      </c>
      <c r="D80">
        <v>35.137779655200497</v>
      </c>
      <c r="E80" s="6">
        <v>41.695569724545599</v>
      </c>
      <c r="F80">
        <v>0.97279156174044101</v>
      </c>
      <c r="G80">
        <v>91.798592744759503</v>
      </c>
      <c r="H80">
        <v>77.553252054137602</v>
      </c>
      <c r="I80" t="str">
        <f t="shared" si="1"/>
        <v>camera</v>
      </c>
      <c r="J80" t="s">
        <v>980</v>
      </c>
    </row>
    <row r="81" spans="1:10" x14ac:dyDescent="0.2">
      <c r="A81" s="3" t="s">
        <v>746</v>
      </c>
      <c r="B81">
        <v>703.3505859375</v>
      </c>
      <c r="C81">
        <v>8.6372288890647599</v>
      </c>
      <c r="D81">
        <v>35.8597634880215</v>
      </c>
      <c r="E81" s="6">
        <v>42.417546978382802</v>
      </c>
      <c r="F81">
        <v>0.97675192156434099</v>
      </c>
      <c r="G81">
        <v>93.220743611000202</v>
      </c>
      <c r="H81">
        <v>79.703801886218102</v>
      </c>
      <c r="I81" t="str">
        <f t="shared" si="1"/>
        <v>camera</v>
      </c>
      <c r="J81" t="s">
        <v>980</v>
      </c>
    </row>
    <row r="82" spans="1:10" x14ac:dyDescent="0.2">
      <c r="A82" s="3" t="s">
        <v>747</v>
      </c>
      <c r="B82">
        <v>163.3076171875</v>
      </c>
      <c r="C82">
        <v>37.199734492635798</v>
      </c>
      <c r="D82">
        <v>30.391584915141301</v>
      </c>
      <c r="E82" s="6">
        <v>40.869965259951897</v>
      </c>
      <c r="F82">
        <v>0.98743877490348297</v>
      </c>
      <c r="G82">
        <v>90.170707972607403</v>
      </c>
      <c r="H82">
        <v>85.972265311356296</v>
      </c>
      <c r="I82" t="str">
        <f t="shared" si="1"/>
        <v>character</v>
      </c>
      <c r="J82" t="s">
        <v>980</v>
      </c>
    </row>
    <row r="83" spans="1:10" x14ac:dyDescent="0.2">
      <c r="A83" s="3" t="s">
        <v>748</v>
      </c>
      <c r="B83">
        <v>169.9169921875</v>
      </c>
      <c r="C83">
        <v>35.752751515848203</v>
      </c>
      <c r="D83">
        <v>30.454789851860699</v>
      </c>
      <c r="E83" s="6">
        <v>40.931497595013703</v>
      </c>
      <c r="F83">
        <v>0.98648937532081005</v>
      </c>
      <c r="G83">
        <v>90.292111939784107</v>
      </c>
      <c r="H83">
        <v>85.386534595863594</v>
      </c>
      <c r="I83" t="str">
        <f t="shared" si="1"/>
        <v>character</v>
      </c>
      <c r="J83" t="s">
        <v>980</v>
      </c>
    </row>
    <row r="84" spans="1:10" x14ac:dyDescent="0.2">
      <c r="A84" s="3" t="s">
        <v>749</v>
      </c>
      <c r="B84">
        <v>176.267578125</v>
      </c>
      <c r="C84">
        <v>34.4646478077319</v>
      </c>
      <c r="D84">
        <v>30.5586022924027</v>
      </c>
      <c r="E84" s="6">
        <v>41.035846153444503</v>
      </c>
      <c r="F84">
        <v>0.98669852113441903</v>
      </c>
      <c r="G84">
        <v>90.497960561058207</v>
      </c>
      <c r="H84">
        <v>85.515066374868596</v>
      </c>
      <c r="I84" t="str">
        <f t="shared" si="1"/>
        <v>character</v>
      </c>
      <c r="J84" t="s">
        <v>980</v>
      </c>
    </row>
    <row r="85" spans="1:10" x14ac:dyDescent="0.2">
      <c r="A85" s="3" t="s">
        <v>750</v>
      </c>
      <c r="B85">
        <v>186.1796875</v>
      </c>
      <c r="C85">
        <v>32.629767949309702</v>
      </c>
      <c r="D85">
        <v>30.709922284593802</v>
      </c>
      <c r="E85" s="6">
        <v>41.187815881395302</v>
      </c>
      <c r="F85">
        <v>0.98752101831288697</v>
      </c>
      <c r="G85">
        <v>90.797683276441703</v>
      </c>
      <c r="H85">
        <v>86.023280315871702</v>
      </c>
      <c r="I85" t="str">
        <f t="shared" si="1"/>
        <v>character</v>
      </c>
      <c r="J85" t="s">
        <v>980</v>
      </c>
    </row>
    <row r="86" spans="1:10" x14ac:dyDescent="0.2">
      <c r="A86" s="3" t="s">
        <v>751</v>
      </c>
      <c r="B86">
        <v>193.697265625</v>
      </c>
      <c r="C86">
        <v>31.3633751121777</v>
      </c>
      <c r="D86">
        <v>30.8476876120904</v>
      </c>
      <c r="E86" s="6">
        <v>41.325902509354101</v>
      </c>
      <c r="F86">
        <v>0.98799330024166099</v>
      </c>
      <c r="G86">
        <v>91.069959843246806</v>
      </c>
      <c r="H86">
        <v>86.317086982872794</v>
      </c>
      <c r="I86" t="str">
        <f t="shared" si="1"/>
        <v>character</v>
      </c>
      <c r="J86" t="s">
        <v>980</v>
      </c>
    </row>
    <row r="87" spans="1:10" x14ac:dyDescent="0.2">
      <c r="A87" s="3" t="s">
        <v>752</v>
      </c>
      <c r="B87">
        <v>202.1962890625</v>
      </c>
      <c r="C87">
        <v>30.0450617969659</v>
      </c>
      <c r="D87">
        <v>30.9855376930545</v>
      </c>
      <c r="E87" s="6">
        <v>41.463802419488601</v>
      </c>
      <c r="F87">
        <v>0.98817787109700705</v>
      </c>
      <c r="G87">
        <v>91.341811150327302</v>
      </c>
      <c r="H87">
        <v>86.432304697657599</v>
      </c>
      <c r="I87" t="str">
        <f t="shared" si="1"/>
        <v>character</v>
      </c>
      <c r="J87" t="s">
        <v>980</v>
      </c>
    </row>
    <row r="88" spans="1:10" x14ac:dyDescent="0.2">
      <c r="A88" s="3" t="s">
        <v>753</v>
      </c>
      <c r="B88">
        <v>214.5048828125</v>
      </c>
      <c r="C88">
        <v>28.321033630316901</v>
      </c>
      <c r="D88">
        <v>31.1168547133929</v>
      </c>
      <c r="E88" s="6">
        <v>41.594816256182597</v>
      </c>
      <c r="F88">
        <v>0.98815030968338202</v>
      </c>
      <c r="G88">
        <v>91.600038554889593</v>
      </c>
      <c r="H88">
        <v>86.415085409103995</v>
      </c>
      <c r="I88" t="str">
        <f t="shared" si="1"/>
        <v>character</v>
      </c>
      <c r="J88" t="s">
        <v>980</v>
      </c>
    </row>
    <row r="89" spans="1:10" x14ac:dyDescent="0.2">
      <c r="A89" s="3" t="s">
        <v>754</v>
      </c>
      <c r="B89">
        <v>225.201171875</v>
      </c>
      <c r="C89">
        <v>26.975880939784702</v>
      </c>
      <c r="D89">
        <v>31.2037685215465</v>
      </c>
      <c r="E89" s="6">
        <v>41.679086386787098</v>
      </c>
      <c r="F89">
        <v>0.98794031603121102</v>
      </c>
      <c r="G89">
        <v>91.766110866440499</v>
      </c>
      <c r="H89">
        <v>86.284052963445404</v>
      </c>
      <c r="I89" t="str">
        <f t="shared" si="1"/>
        <v>character</v>
      </c>
      <c r="J89" t="s">
        <v>980</v>
      </c>
    </row>
    <row r="90" spans="1:10" x14ac:dyDescent="0.2">
      <c r="A90" s="3" t="s">
        <v>755</v>
      </c>
      <c r="B90">
        <v>244.599609375</v>
      </c>
      <c r="C90">
        <v>24.836507366151601</v>
      </c>
      <c r="D90">
        <v>31.389642821783401</v>
      </c>
      <c r="E90" s="6">
        <v>41.865894836495499</v>
      </c>
      <c r="F90">
        <v>0.98830782381104398</v>
      </c>
      <c r="G90">
        <v>92.134195919673203</v>
      </c>
      <c r="H90">
        <v>86.513561158936199</v>
      </c>
      <c r="I90" t="str">
        <f t="shared" si="1"/>
        <v>character</v>
      </c>
      <c r="J90" t="s">
        <v>980</v>
      </c>
    </row>
    <row r="91" spans="1:10" x14ac:dyDescent="0.2">
      <c r="A91" s="3" t="s">
        <v>756</v>
      </c>
      <c r="B91">
        <v>256.3779296875</v>
      </c>
      <c r="C91">
        <v>23.695487390060599</v>
      </c>
      <c r="D91">
        <v>31.540576335245799</v>
      </c>
      <c r="E91" s="6">
        <v>42.016948654345299</v>
      </c>
      <c r="F91">
        <v>0.98854150683448805</v>
      </c>
      <c r="G91">
        <v>92.431773782717002</v>
      </c>
      <c r="H91">
        <v>86.659956796017198</v>
      </c>
      <c r="I91" t="str">
        <f t="shared" si="1"/>
        <v>character</v>
      </c>
      <c r="J91" t="s">
        <v>980</v>
      </c>
    </row>
    <row r="92" spans="1:10" x14ac:dyDescent="0.2">
      <c r="A92" s="3" t="s">
        <v>214</v>
      </c>
      <c r="B92">
        <v>282.0390625</v>
      </c>
      <c r="C92">
        <v>21.5395695410099</v>
      </c>
      <c r="D92">
        <v>31.814222858572599</v>
      </c>
      <c r="E92" s="6">
        <v>42.293269165279597</v>
      </c>
      <c r="F92">
        <v>0.98928330089490601</v>
      </c>
      <c r="G92">
        <v>92.976011714934799</v>
      </c>
      <c r="H92">
        <v>87.127054254785406</v>
      </c>
      <c r="I92" t="str">
        <f t="shared" si="1"/>
        <v>character</v>
      </c>
      <c r="J92" t="s">
        <v>980</v>
      </c>
    </row>
    <row r="93" spans="1:10" x14ac:dyDescent="0.2">
      <c r="A93" s="3" t="s">
        <v>215</v>
      </c>
      <c r="B93">
        <v>307.05078125</v>
      </c>
      <c r="C93">
        <v>19.7850009541378</v>
      </c>
      <c r="D93">
        <v>32.0374067114832</v>
      </c>
      <c r="E93" s="6">
        <v>42.516615770422398</v>
      </c>
      <c r="F93">
        <v>0.98958772857975597</v>
      </c>
      <c r="G93">
        <v>93.415815168217506</v>
      </c>
      <c r="H93">
        <v>87.319802692018996</v>
      </c>
      <c r="I93" t="str">
        <f t="shared" si="1"/>
        <v>character</v>
      </c>
      <c r="J93" t="s">
        <v>980</v>
      </c>
    </row>
    <row r="94" spans="1:10" x14ac:dyDescent="0.2">
      <c r="A94" s="3" t="s">
        <v>216</v>
      </c>
      <c r="B94">
        <v>326.2177734375</v>
      </c>
      <c r="C94">
        <v>18.6225291650576</v>
      </c>
      <c r="D94">
        <v>32.250895064281302</v>
      </c>
      <c r="E94" s="6">
        <v>42.729945766428798</v>
      </c>
      <c r="F94">
        <v>0.98982636047825201</v>
      </c>
      <c r="G94">
        <v>93.835823231132593</v>
      </c>
      <c r="H94">
        <v>87.471323540469001</v>
      </c>
      <c r="I94" t="str">
        <f t="shared" si="1"/>
        <v>character</v>
      </c>
      <c r="J94" t="s">
        <v>980</v>
      </c>
    </row>
    <row r="95" spans="1:10" x14ac:dyDescent="0.2">
      <c r="A95" s="3" t="s">
        <v>217</v>
      </c>
      <c r="B95">
        <v>372.22265625</v>
      </c>
      <c r="C95">
        <v>16.3208764915153</v>
      </c>
      <c r="D95">
        <v>32.558607399176204</v>
      </c>
      <c r="E95" s="6">
        <v>43.037072941807097</v>
      </c>
      <c r="F95">
        <v>0.99026032127652797</v>
      </c>
      <c r="G95">
        <v>94.440394830202493</v>
      </c>
      <c r="H95">
        <v>87.747843875643397</v>
      </c>
      <c r="I95" t="str">
        <f t="shared" si="1"/>
        <v>character</v>
      </c>
      <c r="J95" t="s">
        <v>980</v>
      </c>
    </row>
    <row r="96" spans="1:10" x14ac:dyDescent="0.2">
      <c r="A96" s="3" t="s">
        <v>218</v>
      </c>
      <c r="B96">
        <v>426.5478515625</v>
      </c>
      <c r="C96">
        <v>14.242247329922</v>
      </c>
      <c r="D96">
        <v>32.944760386651403</v>
      </c>
      <c r="E96" s="6">
        <v>43.423400765599403</v>
      </c>
      <c r="F96">
        <v>0.99078983039299995</v>
      </c>
      <c r="G96">
        <v>95.2007208633175</v>
      </c>
      <c r="H96">
        <v>88.086957652976693</v>
      </c>
      <c r="I96" t="str">
        <f t="shared" si="1"/>
        <v>character</v>
      </c>
      <c r="J96" t="s">
        <v>980</v>
      </c>
    </row>
    <row r="97" spans="1:10" x14ac:dyDescent="0.2">
      <c r="A97" s="3" t="s">
        <v>219</v>
      </c>
      <c r="B97">
        <v>491.44140625</v>
      </c>
      <c r="C97">
        <v>12.361595752291199</v>
      </c>
      <c r="D97">
        <v>33.4039518520174</v>
      </c>
      <c r="E97" s="6">
        <v>43.882619019809603</v>
      </c>
      <c r="F97">
        <v>0.99134126009835299</v>
      </c>
      <c r="G97">
        <v>96.104326597916995</v>
      </c>
      <c r="H97">
        <v>88.442118596876298</v>
      </c>
      <c r="I97" t="str">
        <f t="shared" si="1"/>
        <v>character</v>
      </c>
      <c r="J97" t="s">
        <v>980</v>
      </c>
    </row>
    <row r="98" spans="1:10" x14ac:dyDescent="0.2">
      <c r="A98" s="3" t="s">
        <v>757</v>
      </c>
      <c r="B98">
        <v>695.10546875</v>
      </c>
      <c r="C98">
        <v>8.7396809162278704</v>
      </c>
      <c r="D98">
        <v>26.588298370847099</v>
      </c>
      <c r="E98" s="6">
        <v>32.916007070337699</v>
      </c>
      <c r="F98">
        <v>0.963897723048737</v>
      </c>
      <c r="G98">
        <v>73.477530280228507</v>
      </c>
      <c r="H98">
        <v>73.035938642773502</v>
      </c>
      <c r="I98" t="str">
        <f t="shared" si="1"/>
        <v>concord</v>
      </c>
      <c r="J98" t="s">
        <v>980</v>
      </c>
    </row>
    <row r="99" spans="1:10" x14ac:dyDescent="0.2">
      <c r="A99" s="3" t="s">
        <v>758</v>
      </c>
      <c r="B99">
        <v>719.1279296875</v>
      </c>
      <c r="C99">
        <v>8.4477319670227793</v>
      </c>
      <c r="D99">
        <v>26.791264364241201</v>
      </c>
      <c r="E99" s="6">
        <v>33.118828969449403</v>
      </c>
      <c r="F99">
        <v>0.96533144812684202</v>
      </c>
      <c r="G99">
        <v>73.988025475614705</v>
      </c>
      <c r="H99">
        <v>73.736127251700296</v>
      </c>
      <c r="I99" t="str">
        <f t="shared" si="1"/>
        <v>concord</v>
      </c>
      <c r="J99" t="s">
        <v>980</v>
      </c>
    </row>
    <row r="100" spans="1:10" x14ac:dyDescent="0.2">
      <c r="A100" s="3" t="s">
        <v>759</v>
      </c>
      <c r="B100">
        <v>743.3515625</v>
      </c>
      <c r="C100">
        <v>8.1724453225992892</v>
      </c>
      <c r="D100">
        <v>26.9913199988355</v>
      </c>
      <c r="E100" s="6">
        <v>33.318843561723803</v>
      </c>
      <c r="F100">
        <v>0.96662202338486203</v>
      </c>
      <c r="G100">
        <v>74.480402323610093</v>
      </c>
      <c r="H100">
        <v>74.375411421718098</v>
      </c>
      <c r="I100" t="str">
        <f t="shared" si="1"/>
        <v>concord</v>
      </c>
      <c r="J100" t="s">
        <v>980</v>
      </c>
    </row>
    <row r="101" spans="1:10" x14ac:dyDescent="0.2">
      <c r="A101" s="3" t="s">
        <v>760</v>
      </c>
      <c r="B101">
        <v>771.8251953125</v>
      </c>
      <c r="C101">
        <v>7.8709532118089598</v>
      </c>
      <c r="D101">
        <v>27.211537353979001</v>
      </c>
      <c r="E101" s="6">
        <v>33.538930295949697</v>
      </c>
      <c r="F101">
        <v>0.96804041442081301</v>
      </c>
      <c r="G101">
        <v>75.010718608542106</v>
      </c>
      <c r="H101">
        <v>75.087999915863705</v>
      </c>
      <c r="I101" t="str">
        <f t="shared" si="1"/>
        <v>concord</v>
      </c>
      <c r="J101" t="s">
        <v>980</v>
      </c>
    </row>
    <row r="102" spans="1:10" x14ac:dyDescent="0.2">
      <c r="A102" s="3" t="s">
        <v>761</v>
      </c>
      <c r="B102">
        <v>799.845703125</v>
      </c>
      <c r="C102">
        <v>7.5952148974045297</v>
      </c>
      <c r="D102">
        <v>27.446033644367301</v>
      </c>
      <c r="E102" s="6">
        <v>33.773363707564798</v>
      </c>
      <c r="F102">
        <v>0.96945819733944205</v>
      </c>
      <c r="G102">
        <v>75.563730038925598</v>
      </c>
      <c r="H102">
        <v>75.810896209736001</v>
      </c>
      <c r="I102" t="str">
        <f t="shared" si="1"/>
        <v>concord</v>
      </c>
      <c r="J102" t="s">
        <v>980</v>
      </c>
    </row>
    <row r="103" spans="1:10" x14ac:dyDescent="0.2">
      <c r="A103" s="3" t="s">
        <v>762</v>
      </c>
      <c r="B103">
        <v>831.41796875</v>
      </c>
      <c r="C103">
        <v>7.3067942098166299</v>
      </c>
      <c r="D103">
        <v>27.707661293577999</v>
      </c>
      <c r="E103" s="6">
        <v>34.034868883492003</v>
      </c>
      <c r="F103">
        <v>0.97100240224530399</v>
      </c>
      <c r="G103">
        <v>76.167779621551304</v>
      </c>
      <c r="H103">
        <v>76.610517783384694</v>
      </c>
      <c r="I103" t="str">
        <f t="shared" si="1"/>
        <v>concord</v>
      </c>
      <c r="J103" t="s">
        <v>980</v>
      </c>
    </row>
    <row r="104" spans="1:10" x14ac:dyDescent="0.2">
      <c r="A104" s="3" t="s">
        <v>763</v>
      </c>
      <c r="B104">
        <v>868.802734375</v>
      </c>
      <c r="C104">
        <v>6.9923813077893202</v>
      </c>
      <c r="D104">
        <v>28.0066595919021</v>
      </c>
      <c r="E104" s="6">
        <v>34.333736822259297</v>
      </c>
      <c r="F104">
        <v>0.97264275259049804</v>
      </c>
      <c r="G104">
        <v>76.843667255913601</v>
      </c>
      <c r="H104">
        <v>77.474168726807605</v>
      </c>
      <c r="I104" t="str">
        <f t="shared" si="1"/>
        <v>concord</v>
      </c>
      <c r="J104" t="s">
        <v>980</v>
      </c>
    </row>
    <row r="105" spans="1:10" x14ac:dyDescent="0.2">
      <c r="A105" s="3" t="s">
        <v>764</v>
      </c>
      <c r="B105">
        <v>903.2919921875</v>
      </c>
      <c r="C105">
        <v>6.7254000395688101</v>
      </c>
      <c r="D105">
        <v>28.3037818472563</v>
      </c>
      <c r="E105" s="6">
        <v>34.6307539192902</v>
      </c>
      <c r="F105">
        <v>0.97417661776581999</v>
      </c>
      <c r="G105">
        <v>77.502187970367103</v>
      </c>
      <c r="H105">
        <v>78.2952582106047</v>
      </c>
      <c r="I105" t="str">
        <f t="shared" si="1"/>
        <v>concord</v>
      </c>
      <c r="J105" t="s">
        <v>980</v>
      </c>
    </row>
    <row r="106" spans="1:10" x14ac:dyDescent="0.2">
      <c r="A106" s="3" t="s">
        <v>765</v>
      </c>
      <c r="B106">
        <v>955.1201171875</v>
      </c>
      <c r="C106">
        <v>6.3604565443441698</v>
      </c>
      <c r="D106">
        <v>28.678129487527499</v>
      </c>
      <c r="E106" s="6">
        <v>35.005028885413402</v>
      </c>
      <c r="F106">
        <v>0.97604733506165997</v>
      </c>
      <c r="G106">
        <v>78.3162116937078</v>
      </c>
      <c r="H106">
        <v>79.3146553315446</v>
      </c>
      <c r="I106" t="str">
        <f t="shared" si="1"/>
        <v>concord</v>
      </c>
      <c r="J106" t="s">
        <v>980</v>
      </c>
    </row>
    <row r="107" spans="1:10" x14ac:dyDescent="0.2">
      <c r="A107" s="3" t="s">
        <v>766</v>
      </c>
      <c r="B107">
        <v>993.4736328125</v>
      </c>
      <c r="C107">
        <v>6.11490813581214</v>
      </c>
      <c r="D107">
        <v>29.047013724886501</v>
      </c>
      <c r="E107" s="6">
        <v>35.373850030821501</v>
      </c>
      <c r="F107">
        <v>0.97770568025505</v>
      </c>
      <c r="G107">
        <v>79.104058232771806</v>
      </c>
      <c r="H107">
        <v>80.235158850920499</v>
      </c>
      <c r="I107" t="str">
        <f t="shared" si="1"/>
        <v>concord</v>
      </c>
      <c r="J107" t="s">
        <v>980</v>
      </c>
    </row>
    <row r="108" spans="1:10" x14ac:dyDescent="0.2">
      <c r="A108" s="3" t="s">
        <v>767</v>
      </c>
      <c r="B108">
        <v>1061.1240234375</v>
      </c>
      <c r="C108">
        <v>5.7250612235882699</v>
      </c>
      <c r="D108">
        <v>29.515951623811802</v>
      </c>
      <c r="E108" s="6">
        <v>35.842771535036597</v>
      </c>
      <c r="F108">
        <v>0.97966607013197005</v>
      </c>
      <c r="G108">
        <v>80.089227284494598</v>
      </c>
      <c r="H108">
        <v>81.344129808928798</v>
      </c>
      <c r="I108" t="str">
        <f t="shared" si="1"/>
        <v>concord</v>
      </c>
      <c r="J108" t="s">
        <v>980</v>
      </c>
    </row>
    <row r="109" spans="1:10" x14ac:dyDescent="0.2">
      <c r="A109" s="3" t="s">
        <v>768</v>
      </c>
      <c r="B109">
        <v>1122.3623046875</v>
      </c>
      <c r="C109">
        <v>5.41269069232637</v>
      </c>
      <c r="D109">
        <v>29.9922561991552</v>
      </c>
      <c r="E109" s="6">
        <v>36.319088275496497</v>
      </c>
      <c r="F109">
        <v>0.98151177829278302</v>
      </c>
      <c r="G109">
        <v>81.075031515071203</v>
      </c>
      <c r="H109">
        <v>82.409241460426799</v>
      </c>
      <c r="I109" t="str">
        <f t="shared" si="1"/>
        <v>concord</v>
      </c>
      <c r="J109" t="s">
        <v>980</v>
      </c>
    </row>
    <row r="110" spans="1:10" x14ac:dyDescent="0.2">
      <c r="A110" s="3" t="s">
        <v>769</v>
      </c>
      <c r="B110">
        <v>1186.220703125</v>
      </c>
      <c r="C110">
        <v>5.1213066708378303</v>
      </c>
      <c r="D110">
        <v>30.5668412706415</v>
      </c>
      <c r="E110" s="6">
        <v>36.893635697089401</v>
      </c>
      <c r="F110">
        <v>0.98346664368415904</v>
      </c>
      <c r="G110">
        <v>82.249012060607896</v>
      </c>
      <c r="H110">
        <v>83.560032800523501</v>
      </c>
      <c r="I110" t="str">
        <f t="shared" si="1"/>
        <v>concord</v>
      </c>
      <c r="J110" t="s">
        <v>980</v>
      </c>
    </row>
    <row r="111" spans="1:10" x14ac:dyDescent="0.2">
      <c r="A111" s="3" t="s">
        <v>770</v>
      </c>
      <c r="B111">
        <v>1285.9423828125</v>
      </c>
      <c r="C111">
        <v>4.7241618918518702</v>
      </c>
      <c r="D111">
        <v>31.259700846725099</v>
      </c>
      <c r="E111" s="6">
        <v>37.586598403381998</v>
      </c>
      <c r="F111">
        <v>0.98560666513580197</v>
      </c>
      <c r="G111">
        <v>83.648981715052599</v>
      </c>
      <c r="H111">
        <v>84.847155011912704</v>
      </c>
      <c r="I111" t="str">
        <f t="shared" si="1"/>
        <v>concord</v>
      </c>
      <c r="J111" t="s">
        <v>980</v>
      </c>
    </row>
    <row r="112" spans="1:10" x14ac:dyDescent="0.2">
      <c r="A112" s="3" t="s">
        <v>771</v>
      </c>
      <c r="B112">
        <v>1409.96484375</v>
      </c>
      <c r="C112">
        <v>4.30861806727229</v>
      </c>
      <c r="D112">
        <v>32.104899812002998</v>
      </c>
      <c r="E112" s="6">
        <v>38.431875306780498</v>
      </c>
      <c r="F112">
        <v>0.987857380079467</v>
      </c>
      <c r="G112">
        <v>85.340659024270593</v>
      </c>
      <c r="H112">
        <v>86.232381805865302</v>
      </c>
      <c r="I112" t="str">
        <f t="shared" si="1"/>
        <v>concord</v>
      </c>
      <c r="J112" t="s">
        <v>980</v>
      </c>
    </row>
    <row r="113" spans="1:10" x14ac:dyDescent="0.2">
      <c r="A113" s="3" t="s">
        <v>772</v>
      </c>
      <c r="B113">
        <v>1552.3837890625</v>
      </c>
      <c r="C113">
        <v>3.9133364074026802</v>
      </c>
      <c r="D113">
        <v>33.090980003093499</v>
      </c>
      <c r="E113" s="6">
        <v>39.418128813856903</v>
      </c>
      <c r="F113">
        <v>0.99005515531675203</v>
      </c>
      <c r="G113">
        <v>87.300548855214203</v>
      </c>
      <c r="H113">
        <v>87.616954957373494</v>
      </c>
      <c r="I113" t="str">
        <f t="shared" si="1"/>
        <v>concord</v>
      </c>
      <c r="J113" t="s">
        <v>980</v>
      </c>
    </row>
    <row r="114" spans="1:10" x14ac:dyDescent="0.2">
      <c r="A114" s="3" t="s">
        <v>773</v>
      </c>
      <c r="B114">
        <v>358.205078125</v>
      </c>
      <c r="C114">
        <v>16.9595585629304</v>
      </c>
      <c r="D114">
        <v>32.128567015701897</v>
      </c>
      <c r="E114" s="6">
        <v>36.211462592674401</v>
      </c>
      <c r="F114">
        <v>0.97124532118560203</v>
      </c>
      <c r="G114">
        <v>80.853406634313302</v>
      </c>
      <c r="H114">
        <v>76.737484004418803</v>
      </c>
      <c r="I114" t="str">
        <f t="shared" si="1"/>
        <v>deskchair</v>
      </c>
      <c r="J114" t="s">
        <v>980</v>
      </c>
    </row>
    <row r="115" spans="1:10" x14ac:dyDescent="0.2">
      <c r="A115" s="3" t="s">
        <v>774</v>
      </c>
      <c r="B115">
        <v>374.0693359375</v>
      </c>
      <c r="C115">
        <v>16.240304714565099</v>
      </c>
      <c r="D115">
        <v>32.295381282141399</v>
      </c>
      <c r="E115" s="6">
        <v>36.376715785940803</v>
      </c>
      <c r="F115">
        <v>0.97212559976026203</v>
      </c>
      <c r="G115">
        <v>81.193455628432602</v>
      </c>
      <c r="H115">
        <v>77.200286621403393</v>
      </c>
      <c r="I115" t="str">
        <f t="shared" si="1"/>
        <v>deskchair</v>
      </c>
      <c r="J115" t="s">
        <v>980</v>
      </c>
    </row>
    <row r="116" spans="1:10" x14ac:dyDescent="0.2">
      <c r="A116" s="3" t="s">
        <v>775</v>
      </c>
      <c r="B116">
        <v>388.0966796875</v>
      </c>
      <c r="C116">
        <v>15.6533160883821</v>
      </c>
      <c r="D116">
        <v>32.432816126381098</v>
      </c>
      <c r="E116" s="6">
        <v>36.514290428316002</v>
      </c>
      <c r="F116">
        <v>0.97279921472966802</v>
      </c>
      <c r="G116">
        <v>81.475521034885503</v>
      </c>
      <c r="H116">
        <v>77.557322494434601</v>
      </c>
      <c r="I116" t="str">
        <f t="shared" si="1"/>
        <v>deskchair</v>
      </c>
      <c r="J116" t="s">
        <v>980</v>
      </c>
    </row>
    <row r="117" spans="1:10" x14ac:dyDescent="0.2">
      <c r="A117" s="3" t="s">
        <v>776</v>
      </c>
      <c r="B117">
        <v>406.6611328125</v>
      </c>
      <c r="C117">
        <v>14.9387278739545</v>
      </c>
      <c r="D117">
        <v>32.600535506675598</v>
      </c>
      <c r="E117" s="6">
        <v>36.682087754332699</v>
      </c>
      <c r="F117">
        <v>0.97366958965860395</v>
      </c>
      <c r="G117">
        <v>81.818392132093805</v>
      </c>
      <c r="H117">
        <v>78.022384399984503</v>
      </c>
      <c r="I117" t="str">
        <f t="shared" si="1"/>
        <v>deskchair</v>
      </c>
      <c r="J117" t="s">
        <v>980</v>
      </c>
    </row>
    <row r="118" spans="1:10" x14ac:dyDescent="0.2">
      <c r="A118" s="3" t="s">
        <v>777</v>
      </c>
      <c r="B118">
        <v>422.6416015625</v>
      </c>
      <c r="C118">
        <v>14.373880795314101</v>
      </c>
      <c r="D118">
        <v>32.7797629598439</v>
      </c>
      <c r="E118" s="6">
        <v>36.863292638939299</v>
      </c>
      <c r="F118">
        <v>0.97463547729008704</v>
      </c>
      <c r="G118">
        <v>82.187352604029599</v>
      </c>
      <c r="H118">
        <v>78.543458516413907</v>
      </c>
      <c r="I118" t="str">
        <f t="shared" si="1"/>
        <v>deskchair</v>
      </c>
      <c r="J118" t="s">
        <v>980</v>
      </c>
    </row>
    <row r="119" spans="1:10" x14ac:dyDescent="0.2">
      <c r="A119" s="3" t="s">
        <v>778</v>
      </c>
      <c r="B119">
        <v>441.5634765625</v>
      </c>
      <c r="C119">
        <v>13.7579313563089</v>
      </c>
      <c r="D119">
        <v>32.9824113166611</v>
      </c>
      <c r="E119" s="6">
        <v>37.065911948972897</v>
      </c>
      <c r="F119">
        <v>0.97553468596516502</v>
      </c>
      <c r="G119">
        <v>82.598465144440596</v>
      </c>
      <c r="H119">
        <v>79.033314117599502</v>
      </c>
      <c r="I119" t="str">
        <f t="shared" si="1"/>
        <v>deskchair</v>
      </c>
      <c r="J119" t="s">
        <v>980</v>
      </c>
    </row>
    <row r="120" spans="1:10" x14ac:dyDescent="0.2">
      <c r="A120" s="3" t="s">
        <v>779</v>
      </c>
      <c r="B120">
        <v>466.1435546875</v>
      </c>
      <c r="C120">
        <v>13.0324659408251</v>
      </c>
      <c r="D120">
        <v>33.221251367114</v>
      </c>
      <c r="E120" s="6">
        <v>37.304559890536602</v>
      </c>
      <c r="F120">
        <v>0.97659540282388602</v>
      </c>
      <c r="G120">
        <v>83.080929461552103</v>
      </c>
      <c r="H120">
        <v>79.617107797215795</v>
      </c>
      <c r="I120" t="str">
        <f t="shared" si="1"/>
        <v>deskchair</v>
      </c>
      <c r="J120" t="s">
        <v>980</v>
      </c>
    </row>
    <row r="121" spans="1:10" x14ac:dyDescent="0.2">
      <c r="A121" s="3" t="s">
        <v>780</v>
      </c>
      <c r="B121">
        <v>487.298828125</v>
      </c>
      <c r="C121">
        <v>12.4666829661278</v>
      </c>
      <c r="D121">
        <v>33.441477948858299</v>
      </c>
      <c r="E121" s="6">
        <v>37.521811103679397</v>
      </c>
      <c r="F121">
        <v>0.97739973944922298</v>
      </c>
      <c r="G121">
        <v>83.518681449070101</v>
      </c>
      <c r="H121">
        <v>80.064135321413502</v>
      </c>
      <c r="I121" t="str">
        <f t="shared" si="1"/>
        <v>deskchair</v>
      </c>
      <c r="J121" t="s">
        <v>980</v>
      </c>
    </row>
    <row r="122" spans="1:10" x14ac:dyDescent="0.2">
      <c r="A122" s="3" t="s">
        <v>781</v>
      </c>
      <c r="B122">
        <v>520.8828125</v>
      </c>
      <c r="C122">
        <v>11.6628920252576</v>
      </c>
      <c r="D122">
        <v>33.7537138096924</v>
      </c>
      <c r="E122" s="6">
        <v>37.834450020101499</v>
      </c>
      <c r="F122">
        <v>0.978618788046969</v>
      </c>
      <c r="G122">
        <v>84.146526351208706</v>
      </c>
      <c r="H122">
        <v>80.748862730004504</v>
      </c>
      <c r="I122" t="str">
        <f t="shared" si="1"/>
        <v>deskchair</v>
      </c>
      <c r="J122" t="s">
        <v>980</v>
      </c>
    </row>
    <row r="123" spans="1:10" x14ac:dyDescent="0.2">
      <c r="A123" s="3" t="s">
        <v>782</v>
      </c>
      <c r="B123">
        <v>546.078125</v>
      </c>
      <c r="C123">
        <v>11.1247818249449</v>
      </c>
      <c r="D123">
        <v>34.062108866526103</v>
      </c>
      <c r="E123" s="6">
        <v>38.142806282647697</v>
      </c>
      <c r="F123">
        <v>0.97972494426965495</v>
      </c>
      <c r="G123">
        <v>84.763686059936504</v>
      </c>
      <c r="H123">
        <v>81.377787618284401</v>
      </c>
      <c r="I123" t="str">
        <f t="shared" si="1"/>
        <v>deskchair</v>
      </c>
      <c r="J123" t="s">
        <v>980</v>
      </c>
    </row>
    <row r="124" spans="1:10" x14ac:dyDescent="0.2">
      <c r="A124" s="3" t="s">
        <v>783</v>
      </c>
      <c r="B124">
        <v>589.02734375</v>
      </c>
      <c r="C124">
        <v>10.313612881405399</v>
      </c>
      <c r="D124">
        <v>34.471764981802401</v>
      </c>
      <c r="E124" s="6">
        <v>38.554284787246203</v>
      </c>
      <c r="F124">
        <v>0.98114678234702501</v>
      </c>
      <c r="G124">
        <v>85.584581559000696</v>
      </c>
      <c r="H124">
        <v>82.196974772743005</v>
      </c>
      <c r="I124" t="str">
        <f t="shared" si="1"/>
        <v>deskchair</v>
      </c>
      <c r="J124" t="s">
        <v>980</v>
      </c>
    </row>
    <row r="125" spans="1:10" x14ac:dyDescent="0.2">
      <c r="A125" s="3" t="s">
        <v>784</v>
      </c>
      <c r="B125">
        <v>629.1630859375</v>
      </c>
      <c r="C125">
        <v>9.6556840917451403</v>
      </c>
      <c r="D125">
        <v>34.903460092109199</v>
      </c>
      <c r="E125" s="6">
        <v>38.9861194055743</v>
      </c>
      <c r="F125">
        <v>0.98248870279503797</v>
      </c>
      <c r="G125">
        <v>86.443452867775093</v>
      </c>
      <c r="H125">
        <v>82.981391073772301</v>
      </c>
      <c r="I125" t="str">
        <f t="shared" si="1"/>
        <v>deskchair</v>
      </c>
      <c r="J125" t="s">
        <v>980</v>
      </c>
    </row>
    <row r="126" spans="1:10" x14ac:dyDescent="0.2">
      <c r="A126" s="3" t="s">
        <v>785</v>
      </c>
      <c r="B126">
        <v>668.5712890625</v>
      </c>
      <c r="C126">
        <v>9.0865403576014003</v>
      </c>
      <c r="D126">
        <v>35.4323849630008</v>
      </c>
      <c r="E126" s="6">
        <v>39.514954127406398</v>
      </c>
      <c r="F126">
        <v>0.98390307906560504</v>
      </c>
      <c r="G126">
        <v>87.492405615815599</v>
      </c>
      <c r="H126">
        <v>83.820189314296798</v>
      </c>
      <c r="I126" t="str">
        <f t="shared" si="1"/>
        <v>deskchair</v>
      </c>
      <c r="J126" t="s">
        <v>980</v>
      </c>
    </row>
    <row r="127" spans="1:10" x14ac:dyDescent="0.2">
      <c r="A127" s="3" t="s">
        <v>786</v>
      </c>
      <c r="B127">
        <v>733.06640625</v>
      </c>
      <c r="C127">
        <v>8.2871073455359294</v>
      </c>
      <c r="D127">
        <v>36.081260877642798</v>
      </c>
      <c r="E127" s="6">
        <v>40.163551523412501</v>
      </c>
      <c r="F127">
        <v>0.98555323728289401</v>
      </c>
      <c r="G127">
        <v>88.775748943131504</v>
      </c>
      <c r="H127">
        <v>84.814667919236399</v>
      </c>
      <c r="I127" t="str">
        <f t="shared" si="1"/>
        <v>deskchair</v>
      </c>
      <c r="J127" t="s">
        <v>980</v>
      </c>
    </row>
    <row r="128" spans="1:10" x14ac:dyDescent="0.2">
      <c r="A128" s="3" t="s">
        <v>787</v>
      </c>
      <c r="B128">
        <v>813.9228515625</v>
      </c>
      <c r="C128">
        <v>7.4638523643091403</v>
      </c>
      <c r="D128">
        <v>36.9233488787185</v>
      </c>
      <c r="E128" s="6">
        <v>41.005974313585</v>
      </c>
      <c r="F128">
        <v>0.98733221194841603</v>
      </c>
      <c r="G128">
        <v>90.439036355044195</v>
      </c>
      <c r="H128">
        <v>85.906230483502199</v>
      </c>
      <c r="I128" t="str">
        <f t="shared" si="1"/>
        <v>deskchair</v>
      </c>
      <c r="J128" t="s">
        <v>980</v>
      </c>
    </row>
    <row r="129" spans="1:10" x14ac:dyDescent="0.2">
      <c r="A129" s="3" t="s">
        <v>788</v>
      </c>
      <c r="B129">
        <v>904.115234375</v>
      </c>
      <c r="C129">
        <v>6.7192762261102104</v>
      </c>
      <c r="D129">
        <v>37.877939739729896</v>
      </c>
      <c r="E129" s="6">
        <v>41.960778444109799</v>
      </c>
      <c r="F129">
        <v>0.98908045495128205</v>
      </c>
      <c r="G129">
        <v>92.321123394002996</v>
      </c>
      <c r="H129">
        <v>86.998963654397997</v>
      </c>
      <c r="I129" t="str">
        <f t="shared" si="1"/>
        <v>deskchair</v>
      </c>
      <c r="J129" t="s">
        <v>980</v>
      </c>
    </row>
    <row r="130" spans="1:10" x14ac:dyDescent="0.2">
      <c r="A130" s="3" t="s">
        <v>789</v>
      </c>
      <c r="B130">
        <v>324.5126953125</v>
      </c>
      <c r="C130">
        <v>18.7203770075925</v>
      </c>
      <c r="D130">
        <v>29.542891926607702</v>
      </c>
      <c r="E130" s="6">
        <v>36.4717118464675</v>
      </c>
      <c r="F130">
        <v>0.98431041662152896</v>
      </c>
      <c r="G130">
        <v>81.388318454546805</v>
      </c>
      <c r="H130">
        <v>84.064076975274702</v>
      </c>
      <c r="I130" t="str">
        <f t="shared" si="1"/>
        <v>earth</v>
      </c>
      <c r="J130" t="s">
        <v>980</v>
      </c>
    </row>
    <row r="131" spans="1:10" x14ac:dyDescent="0.2">
      <c r="A131" s="3" t="s">
        <v>790</v>
      </c>
      <c r="B131">
        <v>336.140625</v>
      </c>
      <c r="C131">
        <v>18.072793194812402</v>
      </c>
      <c r="D131">
        <v>29.734621804055301</v>
      </c>
      <c r="E131" s="6">
        <v>36.663304749306697</v>
      </c>
      <c r="F131">
        <v>0.98490188688837099</v>
      </c>
      <c r="G131">
        <v>81.780071615252098</v>
      </c>
      <c r="H131">
        <v>84.420070784157403</v>
      </c>
      <c r="I131" t="str">
        <f t="shared" ref="I131:I194" si="2">MID(A131,1,(FIND(".ppm",A131))-1)</f>
        <v>earth</v>
      </c>
      <c r="J131" t="s">
        <v>980</v>
      </c>
    </row>
    <row r="132" spans="1:10" x14ac:dyDescent="0.2">
      <c r="A132" s="3" t="s">
        <v>791</v>
      </c>
      <c r="B132">
        <v>348.125</v>
      </c>
      <c r="C132">
        <v>17.450628366247798</v>
      </c>
      <c r="D132">
        <v>29.911935618699498</v>
      </c>
      <c r="E132" s="6">
        <v>36.840654991281902</v>
      </c>
      <c r="F132">
        <v>0.98537110273150197</v>
      </c>
      <c r="G132">
        <v>82.141328728935903</v>
      </c>
      <c r="H132">
        <v>84.704056705660804</v>
      </c>
      <c r="I132" t="str">
        <f t="shared" si="2"/>
        <v>earth</v>
      </c>
      <c r="J132" t="s">
        <v>980</v>
      </c>
    </row>
    <row r="133" spans="1:10" x14ac:dyDescent="0.2">
      <c r="A133" s="3" t="s">
        <v>792</v>
      </c>
      <c r="B133">
        <v>362.6181640625</v>
      </c>
      <c r="C133">
        <v>16.753159665087601</v>
      </c>
      <c r="D133">
        <v>30.112521448643299</v>
      </c>
      <c r="E133" s="6">
        <v>37.040995599643701</v>
      </c>
      <c r="F133">
        <v>0.98589465534356902</v>
      </c>
      <c r="G133">
        <v>82.547987336050596</v>
      </c>
      <c r="H133">
        <v>85.022582816823402</v>
      </c>
      <c r="I133" t="str">
        <f t="shared" si="2"/>
        <v>earth</v>
      </c>
      <c r="J133" t="s">
        <v>980</v>
      </c>
    </row>
    <row r="134" spans="1:10" x14ac:dyDescent="0.2">
      <c r="A134" s="3" t="s">
        <v>793</v>
      </c>
      <c r="B134">
        <v>375.6337890625</v>
      </c>
      <c r="C134">
        <v>16.172666508947099</v>
      </c>
      <c r="D134">
        <v>30.3206709592043</v>
      </c>
      <c r="E134" s="6">
        <v>37.2488606603617</v>
      </c>
      <c r="F134">
        <v>0.98642785395633403</v>
      </c>
      <c r="G134">
        <v>82.968482151357094</v>
      </c>
      <c r="H134">
        <v>85.348779913960698</v>
      </c>
      <c r="I134" t="str">
        <f t="shared" si="2"/>
        <v>earth</v>
      </c>
      <c r="J134" t="s">
        <v>980</v>
      </c>
    </row>
    <row r="135" spans="1:10" x14ac:dyDescent="0.2">
      <c r="A135" s="3" t="s">
        <v>794</v>
      </c>
      <c r="B135">
        <v>391.630859375</v>
      </c>
      <c r="C135">
        <v>15.512056454629301</v>
      </c>
      <c r="D135">
        <v>30.5523809432019</v>
      </c>
      <c r="E135" s="6">
        <v>37.480349472543203</v>
      </c>
      <c r="F135">
        <v>0.98700714505849796</v>
      </c>
      <c r="G135">
        <v>83.435237034465302</v>
      </c>
      <c r="H135">
        <v>85.705248728638296</v>
      </c>
      <c r="I135" t="str">
        <f t="shared" si="2"/>
        <v>earth</v>
      </c>
      <c r="J135" t="s">
        <v>980</v>
      </c>
    </row>
    <row r="136" spans="1:10" x14ac:dyDescent="0.2">
      <c r="A136" s="3" t="s">
        <v>795</v>
      </c>
      <c r="B136">
        <v>410.0830078125</v>
      </c>
      <c r="C136">
        <v>14.8140739417753</v>
      </c>
      <c r="D136">
        <v>30.809357221426701</v>
      </c>
      <c r="E136" s="6">
        <v>37.737202786231201</v>
      </c>
      <c r="F136">
        <v>0.98757785389355401</v>
      </c>
      <c r="G136">
        <v>83.951479013079194</v>
      </c>
      <c r="H136">
        <v>86.058560748128201</v>
      </c>
      <c r="I136" t="str">
        <f t="shared" si="2"/>
        <v>earth</v>
      </c>
      <c r="J136" t="s">
        <v>980</v>
      </c>
    </row>
    <row r="137" spans="1:10" x14ac:dyDescent="0.2">
      <c r="A137" s="3" t="s">
        <v>796</v>
      </c>
      <c r="B137">
        <v>427.7041015625</v>
      </c>
      <c r="C137">
        <v>14.2037450139165</v>
      </c>
      <c r="D137">
        <v>31.0697980227391</v>
      </c>
      <c r="E137" s="6">
        <v>37.996871277976503</v>
      </c>
      <c r="F137">
        <v>0.988148120106635</v>
      </c>
      <c r="G137">
        <v>84.471839987147902</v>
      </c>
      <c r="H137">
        <v>86.413717661016804</v>
      </c>
      <c r="I137" t="str">
        <f t="shared" si="2"/>
        <v>earth</v>
      </c>
      <c r="J137" t="s">
        <v>980</v>
      </c>
    </row>
    <row r="138" spans="1:10" x14ac:dyDescent="0.2">
      <c r="A138" s="3" t="s">
        <v>797</v>
      </c>
      <c r="B138">
        <v>454.787109375</v>
      </c>
      <c r="C138">
        <v>13.3578983985467</v>
      </c>
      <c r="D138">
        <v>31.391865975879899</v>
      </c>
      <c r="E138" s="6">
        <v>38.318926642897402</v>
      </c>
      <c r="F138">
        <v>0.98883955136368296</v>
      </c>
      <c r="G138">
        <v>85.115383224885704</v>
      </c>
      <c r="H138">
        <v>86.847194573878397</v>
      </c>
      <c r="I138" t="str">
        <f t="shared" si="2"/>
        <v>earth</v>
      </c>
      <c r="J138" t="s">
        <v>980</v>
      </c>
    </row>
    <row r="139" spans="1:10" x14ac:dyDescent="0.2">
      <c r="A139" s="3" t="s">
        <v>798</v>
      </c>
      <c r="B139">
        <v>473.8544921875</v>
      </c>
      <c r="C139">
        <v>12.820391280781999</v>
      </c>
      <c r="D139">
        <v>31.708886045665199</v>
      </c>
      <c r="E139" s="6">
        <v>38.635646143844099</v>
      </c>
      <c r="F139">
        <v>0.98943766720656001</v>
      </c>
      <c r="G139">
        <v>85.7465876537524</v>
      </c>
      <c r="H139">
        <v>87.224714370050606</v>
      </c>
      <c r="I139" t="str">
        <f t="shared" si="2"/>
        <v>earth</v>
      </c>
      <c r="J139" t="s">
        <v>980</v>
      </c>
    </row>
    <row r="140" spans="1:10" x14ac:dyDescent="0.2">
      <c r="A140" s="3" t="s">
        <v>144</v>
      </c>
      <c r="B140">
        <v>510.1025390625</v>
      </c>
      <c r="C140">
        <v>11.9093702438044</v>
      </c>
      <c r="D140">
        <v>32.116724427640399</v>
      </c>
      <c r="E140" s="6">
        <v>39.043336985718703</v>
      </c>
      <c r="F140">
        <v>0.99020917775444595</v>
      </c>
      <c r="G140">
        <v>86.557081974684294</v>
      </c>
      <c r="H140">
        <v>87.715189674946302</v>
      </c>
      <c r="I140" t="str">
        <f t="shared" si="2"/>
        <v>earth</v>
      </c>
      <c r="J140" t="s">
        <v>980</v>
      </c>
    </row>
    <row r="141" spans="1:10" x14ac:dyDescent="0.2">
      <c r="A141" s="3" t="s">
        <v>145</v>
      </c>
      <c r="B141">
        <v>543.248046875</v>
      </c>
      <c r="C141">
        <v>11.1827369374746</v>
      </c>
      <c r="D141">
        <v>32.534002390841501</v>
      </c>
      <c r="E141" s="6">
        <v>39.460380232321903</v>
      </c>
      <c r="F141">
        <v>0.99091708169757398</v>
      </c>
      <c r="G141">
        <v>87.384278860849705</v>
      </c>
      <c r="H141">
        <v>88.168734463893102</v>
      </c>
      <c r="I141" t="str">
        <f t="shared" si="2"/>
        <v>earth</v>
      </c>
      <c r="J141" t="s">
        <v>980</v>
      </c>
    </row>
    <row r="142" spans="1:10" x14ac:dyDescent="0.2">
      <c r="A142" s="3" t="s">
        <v>146</v>
      </c>
      <c r="B142">
        <v>575.798828125</v>
      </c>
      <c r="C142">
        <v>10.550559854007201</v>
      </c>
      <c r="D142">
        <v>33.008778235176699</v>
      </c>
      <c r="E142" s="6">
        <v>39.934858136437803</v>
      </c>
      <c r="F142">
        <v>0.99162752525001197</v>
      </c>
      <c r="G142">
        <v>88.323576217474397</v>
      </c>
      <c r="H142">
        <v>88.627306202167802</v>
      </c>
      <c r="I142" t="str">
        <f t="shared" si="2"/>
        <v>earth</v>
      </c>
      <c r="J142" t="s">
        <v>980</v>
      </c>
    </row>
    <row r="143" spans="1:10" x14ac:dyDescent="0.2">
      <c r="A143" s="3" t="s">
        <v>147</v>
      </c>
      <c r="B143">
        <v>630.6455078125</v>
      </c>
      <c r="C143">
        <v>9.6329870343042003</v>
      </c>
      <c r="D143">
        <v>33.583654726473902</v>
      </c>
      <c r="E143" s="6">
        <v>40.509294188202396</v>
      </c>
      <c r="F143">
        <v>0.99244729021446099</v>
      </c>
      <c r="G143">
        <v>89.458786437543097</v>
      </c>
      <c r="H143">
        <v>89.160707854274506</v>
      </c>
      <c r="I143" t="str">
        <f t="shared" si="2"/>
        <v>earth</v>
      </c>
      <c r="J143" t="s">
        <v>980</v>
      </c>
    </row>
    <row r="144" spans="1:10" x14ac:dyDescent="0.2">
      <c r="A144" s="3" t="s">
        <v>148</v>
      </c>
      <c r="B144">
        <v>700.89453125</v>
      </c>
      <c r="C144">
        <v>8.6674952209509097</v>
      </c>
      <c r="D144">
        <v>34.274239248059402</v>
      </c>
      <c r="E144" s="6">
        <v>41.1995524051774</v>
      </c>
      <c r="F144">
        <v>0.993319777937548</v>
      </c>
      <c r="G144">
        <v>90.820827467147595</v>
      </c>
      <c r="H144">
        <v>89.733478765494496</v>
      </c>
      <c r="I144" t="str">
        <f t="shared" si="2"/>
        <v>earth</v>
      </c>
      <c r="J144" t="s">
        <v>980</v>
      </c>
    </row>
    <row r="145" spans="1:10" x14ac:dyDescent="0.2">
      <c r="A145" s="3" t="s">
        <v>149</v>
      </c>
      <c r="B145">
        <v>783.40625</v>
      </c>
      <c r="C145">
        <v>7.75459731142048</v>
      </c>
      <c r="D145">
        <v>35.075490224216999</v>
      </c>
      <c r="E145" s="6">
        <v>42.0004541919498</v>
      </c>
      <c r="F145">
        <v>0.99421655357531002</v>
      </c>
      <c r="G145">
        <v>92.399281809614195</v>
      </c>
      <c r="H145">
        <v>90.327685646730501</v>
      </c>
      <c r="I145" t="str">
        <f t="shared" si="2"/>
        <v>earth</v>
      </c>
      <c r="J145" t="s">
        <v>980</v>
      </c>
    </row>
    <row r="146" spans="1:10" x14ac:dyDescent="0.2">
      <c r="A146" s="3" t="s">
        <v>799</v>
      </c>
      <c r="B146">
        <v>150.724609375</v>
      </c>
      <c r="C146">
        <v>40.3052960308924</v>
      </c>
      <c r="D146">
        <v>36.295667333436498</v>
      </c>
      <c r="E146" s="6">
        <v>42.2096427920441</v>
      </c>
      <c r="F146">
        <v>0.98574530580296704</v>
      </c>
      <c r="G146">
        <v>92.811317028595397</v>
      </c>
      <c r="H146">
        <v>84.931541155859605</v>
      </c>
      <c r="I146" t="str">
        <f t="shared" si="2"/>
        <v>flower</v>
      </c>
      <c r="J146" t="s">
        <v>980</v>
      </c>
    </row>
    <row r="147" spans="1:10" x14ac:dyDescent="0.2">
      <c r="A147" s="3" t="s">
        <v>800</v>
      </c>
      <c r="B147">
        <v>157.7919921875</v>
      </c>
      <c r="C147">
        <v>38.500052605846101</v>
      </c>
      <c r="D147">
        <v>36.362521653026498</v>
      </c>
      <c r="E147" s="6">
        <v>42.2747605732742</v>
      </c>
      <c r="F147">
        <v>0.98590779982496302</v>
      </c>
      <c r="G147">
        <v>92.939561755731205</v>
      </c>
      <c r="H147">
        <v>85.030602361463494</v>
      </c>
      <c r="I147" t="str">
        <f t="shared" si="2"/>
        <v>flower</v>
      </c>
      <c r="J147" t="s">
        <v>980</v>
      </c>
    </row>
    <row r="148" spans="1:10" x14ac:dyDescent="0.2">
      <c r="A148" s="3" t="s">
        <v>801</v>
      </c>
      <c r="B148">
        <v>164.6640625</v>
      </c>
      <c r="C148">
        <v>36.8932960098686</v>
      </c>
      <c r="D148">
        <v>36.429863060308101</v>
      </c>
      <c r="E148" s="6">
        <v>42.342721766817398</v>
      </c>
      <c r="F148">
        <v>0.98607239735792496</v>
      </c>
      <c r="G148">
        <v>93.073398476332699</v>
      </c>
      <c r="H148">
        <v>85.131118170574794</v>
      </c>
      <c r="I148" t="str">
        <f t="shared" si="2"/>
        <v>flower</v>
      </c>
      <c r="J148" t="s">
        <v>980</v>
      </c>
    </row>
    <row r="149" spans="1:10" x14ac:dyDescent="0.2">
      <c r="A149" s="3" t="s">
        <v>802</v>
      </c>
      <c r="B149">
        <v>176.0556640625</v>
      </c>
      <c r="C149">
        <v>34.506132093786903</v>
      </c>
      <c r="D149">
        <v>36.502884027074302</v>
      </c>
      <c r="E149" s="6">
        <v>42.415755890038596</v>
      </c>
      <c r="F149">
        <v>0.986253353413169</v>
      </c>
      <c r="G149">
        <v>93.217216722852797</v>
      </c>
      <c r="H149">
        <v>85.241824148962905</v>
      </c>
      <c r="I149" t="str">
        <f t="shared" si="2"/>
        <v>flower</v>
      </c>
      <c r="J149" t="s">
        <v>980</v>
      </c>
    </row>
    <row r="150" spans="1:10" x14ac:dyDescent="0.2">
      <c r="A150" s="3" t="s">
        <v>803</v>
      </c>
      <c r="B150">
        <v>183.568359375</v>
      </c>
      <c r="C150">
        <v>33.093938523412803</v>
      </c>
      <c r="D150">
        <v>36.5952143995612</v>
      </c>
      <c r="E150" s="6">
        <v>42.510126595778999</v>
      </c>
      <c r="F150">
        <v>0.98649358866054904</v>
      </c>
      <c r="G150">
        <v>93.403038115674605</v>
      </c>
      <c r="H150">
        <v>85.389121146759393</v>
      </c>
      <c r="I150" t="str">
        <f t="shared" si="2"/>
        <v>flower</v>
      </c>
      <c r="J150" t="s">
        <v>980</v>
      </c>
    </row>
    <row r="151" spans="1:10" x14ac:dyDescent="0.2">
      <c r="A151" s="3" t="s">
        <v>804</v>
      </c>
      <c r="B151">
        <v>192.9912109375</v>
      </c>
      <c r="C151">
        <v>31.478117425603301</v>
      </c>
      <c r="D151">
        <v>36.6837687987191</v>
      </c>
      <c r="E151" s="6">
        <v>42.598779813167603</v>
      </c>
      <c r="F151">
        <v>0.98673852851328003</v>
      </c>
      <c r="G151">
        <v>93.577589024891097</v>
      </c>
      <c r="H151">
        <v>85.539685282486303</v>
      </c>
      <c r="I151" t="str">
        <f t="shared" si="2"/>
        <v>flower</v>
      </c>
      <c r="J151" t="s">
        <v>980</v>
      </c>
    </row>
    <row r="152" spans="1:10" x14ac:dyDescent="0.2">
      <c r="A152" s="3" t="s">
        <v>805</v>
      </c>
      <c r="B152">
        <v>206.123046875</v>
      </c>
      <c r="C152">
        <v>29.472686786374201</v>
      </c>
      <c r="D152">
        <v>36.769948253123601</v>
      </c>
      <c r="E152" s="6">
        <v>42.6850578752072</v>
      </c>
      <c r="F152">
        <v>0.98693108477113001</v>
      </c>
      <c r="G152">
        <v>93.747452473294501</v>
      </c>
      <c r="H152">
        <v>85.658321157984105</v>
      </c>
      <c r="I152" t="str">
        <f t="shared" si="2"/>
        <v>flower</v>
      </c>
      <c r="J152" t="s">
        <v>980</v>
      </c>
    </row>
    <row r="153" spans="1:10" x14ac:dyDescent="0.2">
      <c r="A153" s="3" t="s">
        <v>806</v>
      </c>
      <c r="B153">
        <v>216.6181640625</v>
      </c>
      <c r="C153">
        <v>28.0447395826289</v>
      </c>
      <c r="D153">
        <v>36.822454955196697</v>
      </c>
      <c r="E153" s="6">
        <v>42.7335193748265</v>
      </c>
      <c r="F153">
        <v>0.98706850110523603</v>
      </c>
      <c r="G153">
        <v>93.842858473592798</v>
      </c>
      <c r="H153">
        <v>85.743131386777094</v>
      </c>
      <c r="I153" t="str">
        <f t="shared" si="2"/>
        <v>flower</v>
      </c>
      <c r="J153" t="s">
        <v>980</v>
      </c>
    </row>
    <row r="154" spans="1:10" x14ac:dyDescent="0.2">
      <c r="A154" s="3" t="s">
        <v>807</v>
      </c>
      <c r="B154">
        <v>236.0703125</v>
      </c>
      <c r="C154">
        <v>25.7338584240659</v>
      </c>
      <c r="D154">
        <v>36.9458231490445</v>
      </c>
      <c r="E154" s="6">
        <v>42.858727144773802</v>
      </c>
      <c r="F154">
        <v>0.98738284973533597</v>
      </c>
      <c r="G154">
        <v>94.089340185899204</v>
      </c>
      <c r="H154">
        <v>85.937600454421499</v>
      </c>
      <c r="I154" t="str">
        <f t="shared" si="2"/>
        <v>flower</v>
      </c>
      <c r="J154" t="s">
        <v>980</v>
      </c>
    </row>
    <row r="155" spans="1:10" x14ac:dyDescent="0.2">
      <c r="A155" s="3" t="s">
        <v>808</v>
      </c>
      <c r="B155">
        <v>248.5205078125</v>
      </c>
      <c r="C155">
        <v>24.444662750260299</v>
      </c>
      <c r="D155">
        <v>37.015002767514297</v>
      </c>
      <c r="E155" s="6">
        <v>42.927923282608099</v>
      </c>
      <c r="F155">
        <v>0.98753858250579796</v>
      </c>
      <c r="G155">
        <v>94.225549906600605</v>
      </c>
      <c r="H155">
        <v>86.034180964480996</v>
      </c>
      <c r="I155" t="str">
        <f t="shared" si="2"/>
        <v>flower</v>
      </c>
      <c r="J155" t="s">
        <v>980</v>
      </c>
    </row>
    <row r="156" spans="1:10" x14ac:dyDescent="0.2">
      <c r="A156" s="3" t="s">
        <v>220</v>
      </c>
      <c r="B156">
        <v>273.0517578125</v>
      </c>
      <c r="C156">
        <v>22.248529175086301</v>
      </c>
      <c r="D156">
        <v>37.173042223928</v>
      </c>
      <c r="E156" s="6">
        <v>43.088503171700502</v>
      </c>
      <c r="F156">
        <v>0.987906616639602</v>
      </c>
      <c r="G156">
        <v>94.541622885009204</v>
      </c>
      <c r="H156">
        <v>86.26305198355</v>
      </c>
      <c r="I156" t="str">
        <f t="shared" si="2"/>
        <v>flower</v>
      </c>
      <c r="J156" t="s">
        <v>980</v>
      </c>
    </row>
    <row r="157" spans="1:10" x14ac:dyDescent="0.2">
      <c r="A157" s="3" t="s">
        <v>221</v>
      </c>
      <c r="B157">
        <v>299.5146484375</v>
      </c>
      <c r="C157">
        <v>20.2828143187383</v>
      </c>
      <c r="D157">
        <v>37.3202210205868</v>
      </c>
      <c r="E157" s="6">
        <v>43.236093567607597</v>
      </c>
      <c r="F157">
        <v>0.98827542331502105</v>
      </c>
      <c r="G157">
        <v>94.832103265803198</v>
      </c>
      <c r="H157">
        <v>86.493291502157703</v>
      </c>
      <c r="I157" t="str">
        <f t="shared" si="2"/>
        <v>flower</v>
      </c>
      <c r="J157" t="s">
        <v>980</v>
      </c>
    </row>
    <row r="158" spans="1:10" x14ac:dyDescent="0.2">
      <c r="A158" s="3" t="s">
        <v>222</v>
      </c>
      <c r="B158">
        <v>316.095703125</v>
      </c>
      <c r="C158">
        <v>19.218862958088501</v>
      </c>
      <c r="D158">
        <v>37.417749139838598</v>
      </c>
      <c r="E158" s="6">
        <v>43.3336240695971</v>
      </c>
      <c r="F158">
        <v>0.988491336682632</v>
      </c>
      <c r="G158">
        <v>95.024045943036697</v>
      </c>
      <c r="H158">
        <v>86.628496390075995</v>
      </c>
      <c r="I158" t="str">
        <f t="shared" si="2"/>
        <v>flower</v>
      </c>
      <c r="J158" t="s">
        <v>980</v>
      </c>
    </row>
    <row r="159" spans="1:10" x14ac:dyDescent="0.2">
      <c r="A159" s="3" t="s">
        <v>223</v>
      </c>
      <c r="B159">
        <v>361.1748046875</v>
      </c>
      <c r="C159">
        <v>16.820110154849498</v>
      </c>
      <c r="D159">
        <v>37.616116455335302</v>
      </c>
      <c r="E159" s="6">
        <v>43.531579307331398</v>
      </c>
      <c r="F159">
        <v>0.98895860377515898</v>
      </c>
      <c r="G159">
        <v>95.413599764493199</v>
      </c>
      <c r="H159">
        <v>86.922149564106306</v>
      </c>
      <c r="I159" t="str">
        <f t="shared" si="2"/>
        <v>flower</v>
      </c>
      <c r="J159" t="s">
        <v>980</v>
      </c>
    </row>
    <row r="160" spans="1:10" x14ac:dyDescent="0.2">
      <c r="A160" s="3" t="s">
        <v>224</v>
      </c>
      <c r="B160">
        <v>423.8349609375</v>
      </c>
      <c r="C160">
        <v>14.3334093689733</v>
      </c>
      <c r="D160">
        <v>37.877236230801401</v>
      </c>
      <c r="E160" s="6">
        <v>43.7930456135526</v>
      </c>
      <c r="F160">
        <v>0.98954123229249003</v>
      </c>
      <c r="G160">
        <v>95.928085498004293</v>
      </c>
      <c r="H160">
        <v>87.290323712007904</v>
      </c>
      <c r="I160" t="str">
        <f t="shared" si="2"/>
        <v>flower</v>
      </c>
      <c r="J160" t="s">
        <v>980</v>
      </c>
    </row>
    <row r="161" spans="1:10" x14ac:dyDescent="0.2">
      <c r="A161" s="3" t="s">
        <v>225</v>
      </c>
      <c r="B161">
        <v>493.8525390625</v>
      </c>
      <c r="C161">
        <v>12.3012428194303</v>
      </c>
      <c r="D161">
        <v>38.221078016162103</v>
      </c>
      <c r="E161" s="6">
        <v>44.136879027539699</v>
      </c>
      <c r="F161">
        <v>0.99028739122488496</v>
      </c>
      <c r="G161">
        <v>96.604568885871998</v>
      </c>
      <c r="H161">
        <v>87.765134634505301</v>
      </c>
      <c r="I161" t="str">
        <f t="shared" si="2"/>
        <v>flower</v>
      </c>
      <c r="J161" t="s">
        <v>980</v>
      </c>
    </row>
    <row r="162" spans="1:10" x14ac:dyDescent="0.2">
      <c r="A162" s="3" t="s">
        <v>809</v>
      </c>
      <c r="B162">
        <v>279.2041015625</v>
      </c>
      <c r="C162">
        <v>21.758276350536001</v>
      </c>
      <c r="D162">
        <v>30.488701210872399</v>
      </c>
      <c r="E162" s="6">
        <v>38.032331311042398</v>
      </c>
      <c r="F162">
        <v>0.96460757152252996</v>
      </c>
      <c r="G162">
        <v>84.542791731568897</v>
      </c>
      <c r="H162">
        <v>73.381300945736896</v>
      </c>
      <c r="I162" t="str">
        <f t="shared" si="2"/>
        <v>kitchen</v>
      </c>
      <c r="J162" t="s">
        <v>980</v>
      </c>
    </row>
    <row r="163" spans="1:10" x14ac:dyDescent="0.2">
      <c r="A163" s="3" t="s">
        <v>810</v>
      </c>
      <c r="B163">
        <v>292.6953125</v>
      </c>
      <c r="C163">
        <v>20.755371680234902</v>
      </c>
      <c r="D163">
        <v>30.606558762662601</v>
      </c>
      <c r="E163" s="6">
        <v>38.1499185325805</v>
      </c>
      <c r="F163">
        <v>0.96542429782772299</v>
      </c>
      <c r="G163">
        <v>84.777899202301199</v>
      </c>
      <c r="H163">
        <v>73.781833756858802</v>
      </c>
      <c r="I163" t="str">
        <f t="shared" si="2"/>
        <v>kitchen</v>
      </c>
      <c r="J163" t="s">
        <v>980</v>
      </c>
    </row>
    <row r="164" spans="1:10" x14ac:dyDescent="0.2">
      <c r="A164" s="3" t="s">
        <v>811</v>
      </c>
      <c r="B164">
        <v>303.02734375</v>
      </c>
      <c r="C164">
        <v>20.047695778279099</v>
      </c>
      <c r="D164">
        <v>30.680513579632599</v>
      </c>
      <c r="E164" s="6">
        <v>38.224107399438601</v>
      </c>
      <c r="F164">
        <v>0.96587557431479298</v>
      </c>
      <c r="G164">
        <v>84.926104365079496</v>
      </c>
      <c r="H164">
        <v>74.0046113642763</v>
      </c>
      <c r="I164" t="str">
        <f t="shared" si="2"/>
        <v>kitchen</v>
      </c>
      <c r="J164" t="s">
        <v>980</v>
      </c>
    </row>
    <row r="165" spans="1:10" x14ac:dyDescent="0.2">
      <c r="A165" s="3" t="s">
        <v>812</v>
      </c>
      <c r="B165">
        <v>317.958984375</v>
      </c>
      <c r="C165">
        <v>19.1062379065696</v>
      </c>
      <c r="D165">
        <v>30.7896287659912</v>
      </c>
      <c r="E165" s="6">
        <v>38.333395300233299</v>
      </c>
      <c r="F165">
        <v>0.966592169466303</v>
      </c>
      <c r="G165">
        <v>85.144252408237094</v>
      </c>
      <c r="H165">
        <v>74.360525984542605</v>
      </c>
      <c r="I165" t="str">
        <f t="shared" si="2"/>
        <v>kitchen</v>
      </c>
      <c r="J165" t="s">
        <v>980</v>
      </c>
    </row>
    <row r="166" spans="1:10" x14ac:dyDescent="0.2">
      <c r="A166" s="3" t="s">
        <v>813</v>
      </c>
      <c r="B166">
        <v>329.76171875</v>
      </c>
      <c r="C166">
        <v>18.422393063173001</v>
      </c>
      <c r="D166">
        <v>30.889180117866399</v>
      </c>
      <c r="E166" s="6">
        <v>38.434538537258597</v>
      </c>
      <c r="F166">
        <v>0.967305370966557</v>
      </c>
      <c r="G166">
        <v>85.345968394891898</v>
      </c>
      <c r="H166">
        <v>74.717404437086103</v>
      </c>
      <c r="I166" t="str">
        <f t="shared" si="2"/>
        <v>kitchen</v>
      </c>
      <c r="J166" t="s">
        <v>980</v>
      </c>
    </row>
    <row r="167" spans="1:10" x14ac:dyDescent="0.2">
      <c r="A167" s="3" t="s">
        <v>814</v>
      </c>
      <c r="B167">
        <v>343.9248046875</v>
      </c>
      <c r="C167">
        <v>17.663744857018699</v>
      </c>
      <c r="D167">
        <v>30.994654793423901</v>
      </c>
      <c r="E167" s="6">
        <v>38.539903858211702</v>
      </c>
      <c r="F167">
        <v>0.96793139137283901</v>
      </c>
      <c r="G167">
        <v>85.555936538401099</v>
      </c>
      <c r="H167">
        <v>75.032852897821599</v>
      </c>
      <c r="I167" t="str">
        <f t="shared" si="2"/>
        <v>kitchen</v>
      </c>
      <c r="J167" t="s">
        <v>980</v>
      </c>
    </row>
    <row r="168" spans="1:10" x14ac:dyDescent="0.2">
      <c r="A168" s="3" t="s">
        <v>815</v>
      </c>
      <c r="B168">
        <v>365.0361328125</v>
      </c>
      <c r="C168">
        <v>16.642188139551699</v>
      </c>
      <c r="D168">
        <v>31.128559863878198</v>
      </c>
      <c r="E168" s="6">
        <v>38.673609477863202</v>
      </c>
      <c r="F168">
        <v>0.96879547989880799</v>
      </c>
      <c r="G168">
        <v>85.822148417128503</v>
      </c>
      <c r="H168">
        <v>75.471660005731096</v>
      </c>
      <c r="I168" t="str">
        <f t="shared" si="2"/>
        <v>kitchen</v>
      </c>
      <c r="J168" t="s">
        <v>980</v>
      </c>
    </row>
    <row r="169" spans="1:10" x14ac:dyDescent="0.2">
      <c r="A169" s="3" t="s">
        <v>816</v>
      </c>
      <c r="B169">
        <v>382.177734375</v>
      </c>
      <c r="C169">
        <v>15.895745496358799</v>
      </c>
      <c r="D169">
        <v>31.2508122705453</v>
      </c>
      <c r="E169" s="6">
        <v>38.792494314720003</v>
      </c>
      <c r="F169">
        <v>0.96951222092801204</v>
      </c>
      <c r="G169">
        <v>86.058648139880603</v>
      </c>
      <c r="H169">
        <v>75.838653719964896</v>
      </c>
      <c r="I169" t="str">
        <f t="shared" si="2"/>
        <v>kitchen</v>
      </c>
      <c r="J169" t="s">
        <v>980</v>
      </c>
    </row>
    <row r="170" spans="1:10" x14ac:dyDescent="0.2">
      <c r="A170" s="3" t="s">
        <v>817</v>
      </c>
      <c r="B170">
        <v>412.4443359375</v>
      </c>
      <c r="C170">
        <v>14.729260340528899</v>
      </c>
      <c r="D170">
        <v>31.428564585506699</v>
      </c>
      <c r="E170" s="6">
        <v>38.970860776784598</v>
      </c>
      <c r="F170">
        <v>0.97064461423703896</v>
      </c>
      <c r="G170">
        <v>86.413144355293397</v>
      </c>
      <c r="H170">
        <v>76.424098611801398</v>
      </c>
      <c r="I170" t="str">
        <f t="shared" si="2"/>
        <v>kitchen</v>
      </c>
      <c r="J170" t="s">
        <v>980</v>
      </c>
    </row>
    <row r="171" spans="1:10" x14ac:dyDescent="0.2">
      <c r="A171" s="3" t="s">
        <v>818</v>
      </c>
      <c r="B171">
        <v>436.029296875</v>
      </c>
      <c r="C171">
        <v>13.9325500454653</v>
      </c>
      <c r="D171">
        <v>31.5977397447035</v>
      </c>
      <c r="E171" s="6">
        <v>39.139862511684903</v>
      </c>
      <c r="F171">
        <v>0.97170286590490396</v>
      </c>
      <c r="G171">
        <v>86.748692482692306</v>
      </c>
      <c r="H171">
        <v>76.977505007161696</v>
      </c>
      <c r="I171" t="str">
        <f t="shared" si="2"/>
        <v>kitchen</v>
      </c>
      <c r="J171" t="s">
        <v>980</v>
      </c>
    </row>
    <row r="172" spans="1:10" x14ac:dyDescent="0.2">
      <c r="A172" s="3" t="s">
        <v>819</v>
      </c>
      <c r="B172">
        <v>475.962890625</v>
      </c>
      <c r="C172">
        <v>12.7636001034088</v>
      </c>
      <c r="D172">
        <v>31.847460623821899</v>
      </c>
      <c r="E172" s="6">
        <v>39.392059611694997</v>
      </c>
      <c r="F172">
        <v>0.97322526428982103</v>
      </c>
      <c r="G172">
        <v>87.248879420306395</v>
      </c>
      <c r="H172">
        <v>77.7844422778401</v>
      </c>
      <c r="I172" t="str">
        <f t="shared" si="2"/>
        <v>kitchen</v>
      </c>
      <c r="J172" t="s">
        <v>980</v>
      </c>
    </row>
    <row r="173" spans="1:10" x14ac:dyDescent="0.2">
      <c r="A173" s="3" t="s">
        <v>820</v>
      </c>
      <c r="B173">
        <v>515.900390625</v>
      </c>
      <c r="C173">
        <v>11.7755289788408</v>
      </c>
      <c r="D173">
        <v>32.130734349703197</v>
      </c>
      <c r="E173" s="6">
        <v>39.675278647897102</v>
      </c>
      <c r="F173">
        <v>0.974845673295759</v>
      </c>
      <c r="G173">
        <v>87.809913401333105</v>
      </c>
      <c r="H173">
        <v>78.657553312815295</v>
      </c>
      <c r="I173" t="str">
        <f t="shared" si="2"/>
        <v>kitchen</v>
      </c>
      <c r="J173" t="s">
        <v>980</v>
      </c>
    </row>
    <row r="174" spans="1:10" x14ac:dyDescent="0.2">
      <c r="A174" s="3" t="s">
        <v>821</v>
      </c>
      <c r="B174">
        <v>555.5205078125</v>
      </c>
      <c r="C174">
        <v>10.935689888248801</v>
      </c>
      <c r="D174">
        <v>32.474161695417699</v>
      </c>
      <c r="E174" s="6">
        <v>40.018324154548601</v>
      </c>
      <c r="F174">
        <v>0.97668491025845094</v>
      </c>
      <c r="G174">
        <v>88.488643068253793</v>
      </c>
      <c r="H174">
        <v>79.666667644626799</v>
      </c>
      <c r="I174" t="str">
        <f t="shared" si="2"/>
        <v>kitchen</v>
      </c>
      <c r="J174" t="s">
        <v>980</v>
      </c>
    </row>
    <row r="175" spans="1:10" x14ac:dyDescent="0.2">
      <c r="A175" s="3" t="s">
        <v>822</v>
      </c>
      <c r="B175">
        <v>618.1259765625</v>
      </c>
      <c r="C175">
        <v>9.8280936740178308</v>
      </c>
      <c r="D175">
        <v>32.962515065452401</v>
      </c>
      <c r="E175" s="6">
        <v>40.505450646069903</v>
      </c>
      <c r="F175">
        <v>0.97908045624991602</v>
      </c>
      <c r="G175">
        <v>89.451196618408403</v>
      </c>
      <c r="H175">
        <v>81.010467020221498</v>
      </c>
      <c r="I175" t="str">
        <f t="shared" si="2"/>
        <v>kitchen</v>
      </c>
      <c r="J175" t="s">
        <v>980</v>
      </c>
    </row>
    <row r="176" spans="1:10" x14ac:dyDescent="0.2">
      <c r="A176" s="3" t="s">
        <v>823</v>
      </c>
      <c r="B176">
        <v>700.7734375</v>
      </c>
      <c r="C176">
        <v>8.6689929653619302</v>
      </c>
      <c r="D176">
        <v>33.6517937176014</v>
      </c>
      <c r="E176" s="6">
        <v>41.194901346582903</v>
      </c>
      <c r="F176">
        <v>0.98201374071018799</v>
      </c>
      <c r="G176">
        <v>90.811655725663599</v>
      </c>
      <c r="H176">
        <v>82.702491240543395</v>
      </c>
      <c r="I176" t="str">
        <f t="shared" si="2"/>
        <v>kitchen</v>
      </c>
      <c r="J176" t="s">
        <v>980</v>
      </c>
    </row>
    <row r="177" spans="1:10" x14ac:dyDescent="0.2">
      <c r="A177" s="3" t="s">
        <v>824</v>
      </c>
      <c r="B177">
        <v>788.3798828125</v>
      </c>
      <c r="C177">
        <v>7.7056760737321</v>
      </c>
      <c r="D177">
        <v>34.529116641473898</v>
      </c>
      <c r="E177" s="6">
        <v>42.072261812536503</v>
      </c>
      <c r="F177">
        <v>0.98514725304967798</v>
      </c>
      <c r="G177">
        <v>92.540729612385604</v>
      </c>
      <c r="H177">
        <v>84.568400726131102</v>
      </c>
      <c r="I177" t="str">
        <f t="shared" si="2"/>
        <v>kitchen</v>
      </c>
      <c r="J177" t="s">
        <v>980</v>
      </c>
    </row>
    <row r="178" spans="1:10" x14ac:dyDescent="0.2">
      <c r="A178" s="3" t="s">
        <v>825</v>
      </c>
      <c r="B178">
        <v>252.458984375</v>
      </c>
      <c r="C178">
        <v>24.0633147401728</v>
      </c>
      <c r="D178">
        <v>33.022816184590802</v>
      </c>
      <c r="E178" s="6">
        <v>41.064926921273504</v>
      </c>
      <c r="F178">
        <v>0.98485387039500905</v>
      </c>
      <c r="G178">
        <v>90.555321292580501</v>
      </c>
      <c r="H178">
        <v>84.391088238843594</v>
      </c>
      <c r="I178" t="str">
        <f t="shared" si="2"/>
        <v>lemon</v>
      </c>
      <c r="J178" t="s">
        <v>980</v>
      </c>
    </row>
    <row r="179" spans="1:10" x14ac:dyDescent="0.2">
      <c r="A179" s="3" t="s">
        <v>826</v>
      </c>
      <c r="B179">
        <v>263.15625</v>
      </c>
      <c r="C179">
        <v>23.085144282151798</v>
      </c>
      <c r="D179">
        <v>33.199668909747203</v>
      </c>
      <c r="E179" s="6">
        <v>41.240403018130301</v>
      </c>
      <c r="F179">
        <v>0.98530940963314395</v>
      </c>
      <c r="G179">
        <v>90.901380618904398</v>
      </c>
      <c r="H179">
        <v>84.666638051681701</v>
      </c>
      <c r="I179" t="str">
        <f t="shared" si="2"/>
        <v>lemon</v>
      </c>
      <c r="J179" t="s">
        <v>980</v>
      </c>
    </row>
    <row r="180" spans="1:10" x14ac:dyDescent="0.2">
      <c r="A180" s="3" t="s">
        <v>827</v>
      </c>
      <c r="B180">
        <v>271.720703125</v>
      </c>
      <c r="C180">
        <v>22.357516119061799</v>
      </c>
      <c r="D180">
        <v>33.330910201477302</v>
      </c>
      <c r="E180" s="6">
        <v>41.372022889653302</v>
      </c>
      <c r="F180">
        <v>0.98561898204736997</v>
      </c>
      <c r="G180">
        <v>91.160886160299</v>
      </c>
      <c r="H180">
        <v>84.854646958023096</v>
      </c>
      <c r="I180" t="str">
        <f t="shared" si="2"/>
        <v>lemon</v>
      </c>
      <c r="J180" t="s">
        <v>980</v>
      </c>
    </row>
    <row r="181" spans="1:10" x14ac:dyDescent="0.2">
      <c r="A181" s="3" t="s">
        <v>828</v>
      </c>
      <c r="B181">
        <v>285.1416015625</v>
      </c>
      <c r="C181">
        <v>21.305204034453801</v>
      </c>
      <c r="D181">
        <v>33.508001475259</v>
      </c>
      <c r="E181" s="6">
        <v>41.549338083121597</v>
      </c>
      <c r="F181">
        <v>0.986088502926316</v>
      </c>
      <c r="G181">
        <v>91.510406552998106</v>
      </c>
      <c r="H181">
        <v>85.140962781257002</v>
      </c>
      <c r="I181" t="str">
        <f t="shared" si="2"/>
        <v>lemon</v>
      </c>
      <c r="J181" t="s">
        <v>980</v>
      </c>
    </row>
    <row r="182" spans="1:10" x14ac:dyDescent="0.2">
      <c r="A182" s="3" t="s">
        <v>829</v>
      </c>
      <c r="B182">
        <v>294.828125</v>
      </c>
      <c r="C182">
        <v>20.6052255021464</v>
      </c>
      <c r="D182">
        <v>33.683067744567303</v>
      </c>
      <c r="E182" s="6">
        <v>41.726303490003403</v>
      </c>
      <c r="F182">
        <v>0.98649946610877104</v>
      </c>
      <c r="G182">
        <v>91.859154595775607</v>
      </c>
      <c r="H182">
        <v>85.392729477523503</v>
      </c>
      <c r="I182" t="str">
        <f t="shared" si="2"/>
        <v>lemon</v>
      </c>
      <c r="J182" t="s">
        <v>980</v>
      </c>
    </row>
    <row r="183" spans="1:10" x14ac:dyDescent="0.2">
      <c r="A183" s="3" t="s">
        <v>830</v>
      </c>
      <c r="B183">
        <v>305.9033203125</v>
      </c>
      <c r="C183">
        <v>19.859215629938198</v>
      </c>
      <c r="D183">
        <v>33.871538887751598</v>
      </c>
      <c r="E183" s="6">
        <v>41.914852844609598</v>
      </c>
      <c r="F183">
        <v>0.98695738577395098</v>
      </c>
      <c r="G183">
        <v>92.230649100367003</v>
      </c>
      <c r="H183">
        <v>85.674544080008204</v>
      </c>
      <c r="I183" t="str">
        <f t="shared" si="2"/>
        <v>lemon</v>
      </c>
      <c r="J183" t="s">
        <v>980</v>
      </c>
    </row>
    <row r="184" spans="1:10" x14ac:dyDescent="0.2">
      <c r="A184" s="3" t="s">
        <v>831</v>
      </c>
      <c r="B184">
        <v>321.6533203125</v>
      </c>
      <c r="C184">
        <v>18.8867939995082</v>
      </c>
      <c r="D184">
        <v>34.080844166919903</v>
      </c>
      <c r="E184" s="6">
        <v>42.1242084565054</v>
      </c>
      <c r="F184">
        <v>0.98743676728916097</v>
      </c>
      <c r="G184">
        <v>92.643048616594996</v>
      </c>
      <c r="H184">
        <v>85.971020552575098</v>
      </c>
      <c r="I184" t="str">
        <f t="shared" si="2"/>
        <v>lemon</v>
      </c>
      <c r="J184" t="s">
        <v>980</v>
      </c>
    </row>
    <row r="185" spans="1:10" x14ac:dyDescent="0.2">
      <c r="A185" s="3" t="s">
        <v>832</v>
      </c>
      <c r="B185">
        <v>333.80078125</v>
      </c>
      <c r="C185">
        <v>18.199478075667301</v>
      </c>
      <c r="D185">
        <v>34.245300901814602</v>
      </c>
      <c r="E185" s="6">
        <v>42.285483424681097</v>
      </c>
      <c r="F185">
        <v>0.98770559290611204</v>
      </c>
      <c r="G185">
        <v>92.960678912510204</v>
      </c>
      <c r="H185">
        <v>86.137930968596706</v>
      </c>
      <c r="I185" t="str">
        <f t="shared" si="2"/>
        <v>lemon</v>
      </c>
      <c r="J185" t="s">
        <v>980</v>
      </c>
    </row>
    <row r="186" spans="1:10" x14ac:dyDescent="0.2">
      <c r="A186" s="3" t="s">
        <v>833</v>
      </c>
      <c r="B186">
        <v>355.7412109375</v>
      </c>
      <c r="C186">
        <v>17.077020635282299</v>
      </c>
      <c r="D186">
        <v>34.493076964181697</v>
      </c>
      <c r="E186" s="6">
        <v>42.5340152534068</v>
      </c>
      <c r="F186">
        <v>0.98826604834652299</v>
      </c>
      <c r="G186">
        <v>93.450074079541196</v>
      </c>
      <c r="H186">
        <v>86.487427833931903</v>
      </c>
      <c r="I186" t="str">
        <f t="shared" si="2"/>
        <v>lemon</v>
      </c>
      <c r="J186" t="s">
        <v>980</v>
      </c>
    </row>
    <row r="187" spans="1:10" x14ac:dyDescent="0.2">
      <c r="A187" s="3" t="s">
        <v>834</v>
      </c>
      <c r="B187">
        <v>370.224609375</v>
      </c>
      <c r="C187">
        <v>16.408957822267901</v>
      </c>
      <c r="D187">
        <v>34.702887878591</v>
      </c>
      <c r="E187" s="6">
        <v>42.743823868830603</v>
      </c>
      <c r="F187">
        <v>0.98866697257346603</v>
      </c>
      <c r="G187">
        <v>93.863144487661998</v>
      </c>
      <c r="H187">
        <v>86.7387056393666</v>
      </c>
      <c r="I187" t="str">
        <f t="shared" si="2"/>
        <v>lemon</v>
      </c>
      <c r="J187" t="s">
        <v>980</v>
      </c>
    </row>
    <row r="188" spans="1:10" x14ac:dyDescent="0.2">
      <c r="A188" s="3" t="s">
        <v>835</v>
      </c>
      <c r="B188">
        <v>398.1025390625</v>
      </c>
      <c r="C188">
        <v>15.2598876015866</v>
      </c>
      <c r="D188">
        <v>35.0328471652291</v>
      </c>
      <c r="E188" s="6">
        <v>43.076416915050999</v>
      </c>
      <c r="F188">
        <v>0.98953840600780696</v>
      </c>
      <c r="G188">
        <v>94.517834256384504</v>
      </c>
      <c r="H188">
        <v>87.288532290820299</v>
      </c>
      <c r="I188" t="str">
        <f t="shared" si="2"/>
        <v>lemon</v>
      </c>
      <c r="J188" t="s">
        <v>980</v>
      </c>
    </row>
    <row r="189" spans="1:10" x14ac:dyDescent="0.2">
      <c r="A189" s="3" t="s">
        <v>836</v>
      </c>
      <c r="B189">
        <v>424.5390625</v>
      </c>
      <c r="C189">
        <v>14.3096372904437</v>
      </c>
      <c r="D189">
        <v>35.3457241009434</v>
      </c>
      <c r="E189" s="6">
        <v>43.389414605497997</v>
      </c>
      <c r="F189">
        <v>0.99010536244737901</v>
      </c>
      <c r="G189">
        <v>95.133839108976503</v>
      </c>
      <c r="H189">
        <v>87.648959367871399</v>
      </c>
      <c r="I189" t="str">
        <f t="shared" si="2"/>
        <v>lemon</v>
      </c>
      <c r="J189" t="s">
        <v>980</v>
      </c>
    </row>
    <row r="190" spans="1:10" x14ac:dyDescent="0.2">
      <c r="A190" s="3" t="s">
        <v>837</v>
      </c>
      <c r="B190">
        <v>446.234375</v>
      </c>
      <c r="C190">
        <v>13.613922056094401</v>
      </c>
      <c r="D190">
        <v>35.629230144951499</v>
      </c>
      <c r="E190" s="6">
        <v>43.672894784631602</v>
      </c>
      <c r="F190">
        <v>0.99055319798610597</v>
      </c>
      <c r="G190">
        <v>95.691672133285294</v>
      </c>
      <c r="H190">
        <v>87.935178161709899</v>
      </c>
      <c r="I190" t="str">
        <f t="shared" si="2"/>
        <v>lemon</v>
      </c>
      <c r="J190" t="s">
        <v>980</v>
      </c>
    </row>
    <row r="191" spans="1:10" x14ac:dyDescent="0.2">
      <c r="A191" s="3" t="s">
        <v>838</v>
      </c>
      <c r="B191">
        <v>492.3193359375</v>
      </c>
      <c r="C191">
        <v>12.3395519057395</v>
      </c>
      <c r="D191">
        <v>36.029217686609897</v>
      </c>
      <c r="E191" s="6">
        <v>44.072095072143398</v>
      </c>
      <c r="F191">
        <v>0.991178613778124</v>
      </c>
      <c r="G191">
        <v>96.477114041059096</v>
      </c>
      <c r="H191">
        <v>88.337148733711004</v>
      </c>
      <c r="I191" t="str">
        <f t="shared" si="2"/>
        <v>lemon</v>
      </c>
      <c r="J191" t="s">
        <v>980</v>
      </c>
    </row>
    <row r="192" spans="1:10" x14ac:dyDescent="0.2">
      <c r="A192" s="3" t="s">
        <v>839</v>
      </c>
      <c r="B192">
        <v>549.1337890625</v>
      </c>
      <c r="C192">
        <v>11.062877792261601</v>
      </c>
      <c r="D192">
        <v>36.506747041505101</v>
      </c>
      <c r="E192" s="6">
        <v>44.549953494095199</v>
      </c>
      <c r="F192">
        <v>0.991877933586366</v>
      </c>
      <c r="G192">
        <v>97.417188488945897</v>
      </c>
      <c r="H192">
        <v>88.789754482358603</v>
      </c>
      <c r="I192" t="str">
        <f t="shared" si="2"/>
        <v>lemon</v>
      </c>
      <c r="J192" t="s">
        <v>980</v>
      </c>
    </row>
    <row r="193" spans="1:10" x14ac:dyDescent="0.2">
      <c r="A193" s="3" t="s">
        <v>840</v>
      </c>
      <c r="B193">
        <v>612.9677734375</v>
      </c>
      <c r="C193">
        <v>9.9107983539356894</v>
      </c>
      <c r="D193">
        <v>37.047171611379703</v>
      </c>
      <c r="E193" s="6">
        <v>45.090476283456098</v>
      </c>
      <c r="F193">
        <v>0.992602706718133</v>
      </c>
      <c r="G193">
        <v>98.4804093333737</v>
      </c>
      <c r="H193">
        <v>89.262352179342798</v>
      </c>
      <c r="I193" t="str">
        <f t="shared" si="2"/>
        <v>lemon</v>
      </c>
      <c r="J193" t="s">
        <v>980</v>
      </c>
    </row>
    <row r="194" spans="1:10" x14ac:dyDescent="0.2">
      <c r="A194" s="3" t="s">
        <v>841</v>
      </c>
      <c r="B194">
        <v>404.765625</v>
      </c>
      <c r="C194">
        <v>15.008685581933999</v>
      </c>
      <c r="D194">
        <v>31.4296879939196</v>
      </c>
      <c r="E194" s="6">
        <v>40.214888377227197</v>
      </c>
      <c r="F194">
        <v>0.994940240354244</v>
      </c>
      <c r="G194">
        <v>88.877209025301596</v>
      </c>
      <c r="H194">
        <v>90.81129773472</v>
      </c>
      <c r="I194" t="str">
        <f t="shared" si="2"/>
        <v>pcgame</v>
      </c>
      <c r="J194" t="s">
        <v>980</v>
      </c>
    </row>
    <row r="195" spans="1:10" x14ac:dyDescent="0.2">
      <c r="A195" s="3" t="s">
        <v>842</v>
      </c>
      <c r="B195">
        <v>412.00390625</v>
      </c>
      <c r="C195">
        <v>14.745005830876099</v>
      </c>
      <c r="D195">
        <v>32.061057158852499</v>
      </c>
      <c r="E195" s="6">
        <v>40.846740328484699</v>
      </c>
      <c r="F195">
        <v>0.99529617273405502</v>
      </c>
      <c r="G195">
        <v>90.124881132463102</v>
      </c>
      <c r="H195">
        <v>91.050504707937506</v>
      </c>
      <c r="I195" t="str">
        <f t="shared" ref="I195:I258" si="3">MID(A195,1,(FIND(".ppm",A195))-1)</f>
        <v>pcgame</v>
      </c>
      <c r="J195" t="s">
        <v>980</v>
      </c>
    </row>
    <row r="196" spans="1:10" x14ac:dyDescent="0.2">
      <c r="A196" s="3" t="s">
        <v>843</v>
      </c>
      <c r="B196">
        <v>418.6533203125</v>
      </c>
      <c r="C196">
        <v>14.5108128975673</v>
      </c>
      <c r="D196">
        <v>32.681667466494602</v>
      </c>
      <c r="E196" s="6">
        <v>41.467601443803403</v>
      </c>
      <c r="F196">
        <v>0.99583890900674199</v>
      </c>
      <c r="G196">
        <v>91.3492996552297</v>
      </c>
      <c r="H196">
        <v>91.416979204681397</v>
      </c>
      <c r="I196" t="str">
        <f t="shared" si="3"/>
        <v>pcgame</v>
      </c>
      <c r="J196" t="s">
        <v>980</v>
      </c>
    </row>
    <row r="197" spans="1:10" x14ac:dyDescent="0.2">
      <c r="A197" s="3" t="s">
        <v>844</v>
      </c>
      <c r="B197">
        <v>430.705078125</v>
      </c>
      <c r="C197">
        <v>14.1047791366809</v>
      </c>
      <c r="D197">
        <v>33.356668560488103</v>
      </c>
      <c r="E197" s="6">
        <v>42.142685589372597</v>
      </c>
      <c r="F197">
        <v>0.99620231514620305</v>
      </c>
      <c r="G197">
        <v>92.679441671611798</v>
      </c>
      <c r="H197">
        <v>91.663533251530694</v>
      </c>
      <c r="I197" t="str">
        <f t="shared" si="3"/>
        <v>pcgame</v>
      </c>
      <c r="J197" t="s">
        <v>980</v>
      </c>
    </row>
    <row r="198" spans="1:10" x14ac:dyDescent="0.2">
      <c r="A198" s="3" t="s">
        <v>845</v>
      </c>
      <c r="B198">
        <v>438.98828125</v>
      </c>
      <c r="C198">
        <v>13.8386382039669</v>
      </c>
      <c r="D198">
        <v>34.343932111893402</v>
      </c>
      <c r="E198" s="6">
        <v>43.1302474981389</v>
      </c>
      <c r="F198">
        <v>0.99686461184035702</v>
      </c>
      <c r="G198">
        <v>94.623784422411504</v>
      </c>
      <c r="H198">
        <v>92.115296485578696</v>
      </c>
      <c r="I198" t="str">
        <f t="shared" si="3"/>
        <v>pcgame</v>
      </c>
      <c r="J198" t="s">
        <v>980</v>
      </c>
    </row>
    <row r="199" spans="1:10" x14ac:dyDescent="0.2">
      <c r="A199" s="3" t="s">
        <v>846</v>
      </c>
      <c r="B199">
        <v>448.517578125</v>
      </c>
      <c r="C199">
        <v>13.5446196454466</v>
      </c>
      <c r="D199">
        <v>35.389193733867998</v>
      </c>
      <c r="E199" s="6">
        <v>44.176347537475003</v>
      </c>
      <c r="F199">
        <v>0.99741493815419902</v>
      </c>
      <c r="G199">
        <v>96.682217304990303</v>
      </c>
      <c r="H199">
        <v>92.493079264550005</v>
      </c>
      <c r="I199" t="str">
        <f t="shared" si="3"/>
        <v>pcgame</v>
      </c>
      <c r="J199" t="s">
        <v>980</v>
      </c>
    </row>
    <row r="200" spans="1:10" x14ac:dyDescent="0.2">
      <c r="A200" s="3" t="s">
        <v>847</v>
      </c>
      <c r="B200">
        <v>458.7822265625</v>
      </c>
      <c r="C200">
        <v>13.241576609272601</v>
      </c>
      <c r="D200">
        <v>36.121866409388502</v>
      </c>
      <c r="E200" s="6">
        <v>44.909558895746699</v>
      </c>
      <c r="F200">
        <v>0.997674455242889</v>
      </c>
      <c r="G200">
        <v>98.124553790109402</v>
      </c>
      <c r="H200">
        <v>92.671988677549706</v>
      </c>
      <c r="I200" t="str">
        <f t="shared" si="3"/>
        <v>pcgame</v>
      </c>
      <c r="J200" t="s">
        <v>980</v>
      </c>
    </row>
    <row r="201" spans="1:10" x14ac:dyDescent="0.2">
      <c r="A201" s="3" t="s">
        <v>848</v>
      </c>
      <c r="B201">
        <v>466.9873046875</v>
      </c>
      <c r="C201">
        <v>13.008918955656201</v>
      </c>
      <c r="D201">
        <v>36.650474080855297</v>
      </c>
      <c r="E201" s="6">
        <v>45.438689194961199</v>
      </c>
      <c r="F201">
        <v>0.99790291666901598</v>
      </c>
      <c r="G201">
        <v>99.165295436457498</v>
      </c>
      <c r="H201">
        <v>92.829892374210402</v>
      </c>
      <c r="I201" t="str">
        <f t="shared" si="3"/>
        <v>pcgame</v>
      </c>
      <c r="J201" t="s">
        <v>980</v>
      </c>
    </row>
    <row r="202" spans="1:10" x14ac:dyDescent="0.2">
      <c r="A202" s="3" t="s">
        <v>849</v>
      </c>
      <c r="B202">
        <v>486.4912109375</v>
      </c>
      <c r="C202">
        <v>12.4873787304257</v>
      </c>
      <c r="D202">
        <v>37.186921594353798</v>
      </c>
      <c r="E202" s="6">
        <v>45.975786380198102</v>
      </c>
      <c r="F202">
        <v>0.99820025753600194</v>
      </c>
      <c r="G202">
        <v>100.221623972991</v>
      </c>
      <c r="H202">
        <v>93.035970790578205</v>
      </c>
      <c r="I202" t="str">
        <f t="shared" si="3"/>
        <v>pcgame</v>
      </c>
      <c r="J202" t="s">
        <v>980</v>
      </c>
    </row>
    <row r="203" spans="1:10" x14ac:dyDescent="0.2">
      <c r="A203" s="3" t="s">
        <v>850</v>
      </c>
      <c r="B203">
        <v>496.54296875</v>
      </c>
      <c r="C203">
        <v>12.234590724934099</v>
      </c>
      <c r="D203">
        <v>37.045239011292999</v>
      </c>
      <c r="E203" s="6">
        <v>45.8344363418054</v>
      </c>
      <c r="F203">
        <v>0.99822460409156</v>
      </c>
      <c r="G203">
        <v>99.943632492889904</v>
      </c>
      <c r="H203">
        <v>93.052873193558995</v>
      </c>
      <c r="I203" t="str">
        <f t="shared" si="3"/>
        <v>pcgame</v>
      </c>
      <c r="J203" t="s">
        <v>980</v>
      </c>
    </row>
    <row r="204" spans="1:10" x14ac:dyDescent="0.2">
      <c r="A204" s="3" t="s">
        <v>851</v>
      </c>
      <c r="B204">
        <v>524.63671875</v>
      </c>
      <c r="C204">
        <v>11.5794411311399</v>
      </c>
      <c r="D204">
        <v>37.273914498681897</v>
      </c>
      <c r="E204" s="6">
        <v>46.061764830839302</v>
      </c>
      <c r="F204">
        <v>0.99851601746480401</v>
      </c>
      <c r="G204">
        <v>100.390714695273</v>
      </c>
      <c r="H204">
        <v>93.255520227461602</v>
      </c>
      <c r="I204" t="str">
        <f t="shared" si="3"/>
        <v>pcgame</v>
      </c>
      <c r="J204" t="s">
        <v>980</v>
      </c>
    </row>
    <row r="205" spans="1:10" x14ac:dyDescent="0.2">
      <c r="A205" s="3" t="s">
        <v>852</v>
      </c>
      <c r="B205">
        <v>539.3330078125</v>
      </c>
      <c r="C205">
        <v>11.263912855324399</v>
      </c>
      <c r="D205">
        <v>38.254617876782497</v>
      </c>
      <c r="E205" s="6">
        <v>47.042754718740198</v>
      </c>
      <c r="F205">
        <v>0.99869531586726601</v>
      </c>
      <c r="G205">
        <v>102.319902024824</v>
      </c>
      <c r="H205">
        <v>93.380511569892406</v>
      </c>
      <c r="I205" t="str">
        <f t="shared" si="3"/>
        <v>pcgame</v>
      </c>
      <c r="J205" t="s">
        <v>980</v>
      </c>
    </row>
    <row r="206" spans="1:10" x14ac:dyDescent="0.2">
      <c r="A206" s="3" t="s">
        <v>853</v>
      </c>
      <c r="B206">
        <v>561.9775390625</v>
      </c>
      <c r="C206">
        <v>10.8100405758821</v>
      </c>
      <c r="D206">
        <v>39.158047195322901</v>
      </c>
      <c r="E206" s="6">
        <v>47.945744467906202</v>
      </c>
      <c r="F206">
        <v>0.99884409048795197</v>
      </c>
      <c r="G206">
        <v>104.095594153862</v>
      </c>
      <c r="H206">
        <v>93.484403085753499</v>
      </c>
      <c r="I206" t="str">
        <f t="shared" si="3"/>
        <v>pcgame</v>
      </c>
      <c r="J206" t="s">
        <v>980</v>
      </c>
    </row>
    <row r="207" spans="1:10" x14ac:dyDescent="0.2">
      <c r="A207" s="3" t="s">
        <v>854</v>
      </c>
      <c r="B207">
        <v>599.43359375</v>
      </c>
      <c r="C207">
        <v>10.1345671369457</v>
      </c>
      <c r="D207">
        <v>39.859287318329699</v>
      </c>
      <c r="E207" s="6">
        <v>48.647061085956203</v>
      </c>
      <c r="F207">
        <v>0.99902894320429603</v>
      </c>
      <c r="G207">
        <v>105.474663231343</v>
      </c>
      <c r="H207">
        <v>93.613714686154495</v>
      </c>
      <c r="I207" t="str">
        <f t="shared" si="3"/>
        <v>pcgame</v>
      </c>
      <c r="J207" t="s">
        <v>980</v>
      </c>
    </row>
    <row r="208" spans="1:10" x14ac:dyDescent="0.2">
      <c r="A208" s="3" t="s">
        <v>855</v>
      </c>
      <c r="B208">
        <v>641.6015625</v>
      </c>
      <c r="C208">
        <v>9.4684931506849299</v>
      </c>
      <c r="D208">
        <v>40.457073325348901</v>
      </c>
      <c r="E208" s="6">
        <v>49.244263778465204</v>
      </c>
      <c r="F208">
        <v>0.99919155052350395</v>
      </c>
      <c r="G208">
        <v>106.648984115273</v>
      </c>
      <c r="H208">
        <v>93.727672377485504</v>
      </c>
      <c r="I208" t="str">
        <f t="shared" si="3"/>
        <v>pcgame</v>
      </c>
      <c r="J208" t="s">
        <v>980</v>
      </c>
    </row>
    <row r="209" spans="1:10" x14ac:dyDescent="0.2">
      <c r="A209" s="3" t="s">
        <v>856</v>
      </c>
      <c r="B209">
        <v>675.552734375</v>
      </c>
      <c r="C209">
        <v>8.9926362382655398</v>
      </c>
      <c r="D209">
        <v>41.799165208522901</v>
      </c>
      <c r="E209" s="6">
        <v>50.586170451160598</v>
      </c>
      <c r="F209">
        <v>0.99932511206363905</v>
      </c>
      <c r="G209">
        <v>109.28762957969001</v>
      </c>
      <c r="H209">
        <v>93.821419936167104</v>
      </c>
      <c r="I209" t="str">
        <f t="shared" si="3"/>
        <v>pcgame</v>
      </c>
      <c r="J209" t="s">
        <v>980</v>
      </c>
    </row>
    <row r="210" spans="1:10" x14ac:dyDescent="0.2">
      <c r="A210" s="3" t="s">
        <v>857</v>
      </c>
      <c r="B210">
        <v>385.353515625</v>
      </c>
      <c r="C210">
        <v>15.7647452369729</v>
      </c>
      <c r="D210">
        <v>34.1379559266623</v>
      </c>
      <c r="E210" s="6">
        <v>36.267823259052399</v>
      </c>
      <c r="F210">
        <v>0.98062174436404903</v>
      </c>
      <c r="G210">
        <v>80.969540997854907</v>
      </c>
      <c r="H210">
        <v>81.893054216171294</v>
      </c>
      <c r="I210" t="str">
        <f t="shared" si="3"/>
        <v>pc_desktop</v>
      </c>
      <c r="J210" t="s">
        <v>980</v>
      </c>
    </row>
    <row r="211" spans="1:10" x14ac:dyDescent="0.2">
      <c r="A211" s="3" t="s">
        <v>858</v>
      </c>
      <c r="B211">
        <v>397.1806640625</v>
      </c>
      <c r="C211">
        <v>15.2953065183557</v>
      </c>
      <c r="D211">
        <v>34.458569926245403</v>
      </c>
      <c r="E211" s="6">
        <v>36.587643842788701</v>
      </c>
      <c r="F211">
        <v>0.98138981348226295</v>
      </c>
      <c r="G211">
        <v>81.625559422933307</v>
      </c>
      <c r="H211">
        <v>82.338221403409307</v>
      </c>
      <c r="I211" t="str">
        <f t="shared" si="3"/>
        <v>pc_desktop</v>
      </c>
      <c r="J211" t="s">
        <v>980</v>
      </c>
    </row>
    <row r="212" spans="1:10" x14ac:dyDescent="0.2">
      <c r="A212" s="3" t="s">
        <v>859</v>
      </c>
      <c r="B212">
        <v>407.7001953125</v>
      </c>
      <c r="C212">
        <v>14.9006551133574</v>
      </c>
      <c r="D212">
        <v>34.7844014001696</v>
      </c>
      <c r="E212" s="6">
        <v>36.9128192949847</v>
      </c>
      <c r="F212">
        <v>0.98207475534437205</v>
      </c>
      <c r="G212">
        <v>82.287977107557694</v>
      </c>
      <c r="H212">
        <v>82.738241644770397</v>
      </c>
      <c r="I212" t="str">
        <f t="shared" si="3"/>
        <v>pc_desktop</v>
      </c>
      <c r="J212" t="s">
        <v>980</v>
      </c>
    </row>
    <row r="213" spans="1:10" x14ac:dyDescent="0.2">
      <c r="A213" s="3" t="s">
        <v>860</v>
      </c>
      <c r="B213">
        <v>421.494140625</v>
      </c>
      <c r="C213">
        <v>14.413011746715799</v>
      </c>
      <c r="D213">
        <v>35.150105568716903</v>
      </c>
      <c r="E213" s="6">
        <v>37.277510055847401</v>
      </c>
      <c r="F213">
        <v>0.98298204192015104</v>
      </c>
      <c r="G213">
        <v>83.026331931977097</v>
      </c>
      <c r="H213">
        <v>83.2725555571039</v>
      </c>
      <c r="I213" t="str">
        <f t="shared" si="3"/>
        <v>pc_desktop</v>
      </c>
      <c r="J213" t="s">
        <v>980</v>
      </c>
    </row>
    <row r="214" spans="1:10" x14ac:dyDescent="0.2">
      <c r="A214" s="3" t="s">
        <v>861</v>
      </c>
      <c r="B214">
        <v>432.9453125</v>
      </c>
      <c r="C214">
        <v>14.0317952974719</v>
      </c>
      <c r="D214">
        <v>35.529310584189503</v>
      </c>
      <c r="E214" s="6">
        <v>37.6559350694328</v>
      </c>
      <c r="F214">
        <v>0.98387712714419595</v>
      </c>
      <c r="G214">
        <v>83.788315739557802</v>
      </c>
      <c r="H214">
        <v>83.804686225118104</v>
      </c>
      <c r="I214" t="str">
        <f t="shared" si="3"/>
        <v>pc_desktop</v>
      </c>
      <c r="J214" t="s">
        <v>980</v>
      </c>
    </row>
    <row r="215" spans="1:10" x14ac:dyDescent="0.2">
      <c r="A215" s="3" t="s">
        <v>862</v>
      </c>
      <c r="B215">
        <v>446.359375</v>
      </c>
      <c r="C215">
        <v>13.610109566982899</v>
      </c>
      <c r="D215">
        <v>35.9300426090945</v>
      </c>
      <c r="E215" s="6">
        <v>38.055970692019798</v>
      </c>
      <c r="F215">
        <v>0.98472770893664896</v>
      </c>
      <c r="G215">
        <v>84.590078021847702</v>
      </c>
      <c r="H215">
        <v>84.315007230374505</v>
      </c>
      <c r="I215" t="str">
        <f t="shared" si="3"/>
        <v>pc_desktop</v>
      </c>
      <c r="J215" t="s">
        <v>980</v>
      </c>
    </row>
    <row r="216" spans="1:10" x14ac:dyDescent="0.2">
      <c r="A216" s="3" t="s">
        <v>863</v>
      </c>
      <c r="B216">
        <v>462.390625</v>
      </c>
      <c r="C216">
        <v>13.138242151860201</v>
      </c>
      <c r="D216">
        <v>36.3732828681459</v>
      </c>
      <c r="E216" s="6">
        <v>38.498678343871902</v>
      </c>
      <c r="F216">
        <v>0.98571007232958496</v>
      </c>
      <c r="G216">
        <v>85.473803655838395</v>
      </c>
      <c r="H216">
        <v>84.910084037930602</v>
      </c>
      <c r="I216" t="str">
        <f t="shared" si="3"/>
        <v>pc_desktop</v>
      </c>
      <c r="J216" t="s">
        <v>980</v>
      </c>
    </row>
    <row r="217" spans="1:10" x14ac:dyDescent="0.2">
      <c r="A217" s="3" t="s">
        <v>864</v>
      </c>
      <c r="B217">
        <v>477.6123046875</v>
      </c>
      <c r="C217">
        <v>12.7195215457752</v>
      </c>
      <c r="D217">
        <v>36.845750439659298</v>
      </c>
      <c r="E217" s="6">
        <v>38.970352874673502</v>
      </c>
      <c r="F217">
        <v>0.98675814355471003</v>
      </c>
      <c r="G217">
        <v>86.412135453809796</v>
      </c>
      <c r="H217">
        <v>85.551759352585805</v>
      </c>
      <c r="I217" t="str">
        <f t="shared" si="3"/>
        <v>pc_desktop</v>
      </c>
      <c r="J217" t="s">
        <v>980</v>
      </c>
    </row>
    <row r="218" spans="1:10" x14ac:dyDescent="0.2">
      <c r="A218" s="3" t="s">
        <v>865</v>
      </c>
      <c r="B218">
        <v>499.6455078125</v>
      </c>
      <c r="C218">
        <v>12.1586202717943</v>
      </c>
      <c r="D218">
        <v>37.397110458059601</v>
      </c>
      <c r="E218" s="6">
        <v>39.521110080099596</v>
      </c>
      <c r="F218">
        <v>0.98796769114274696</v>
      </c>
      <c r="G218">
        <v>87.504600765449197</v>
      </c>
      <c r="H218">
        <v>86.3011182078546</v>
      </c>
      <c r="I218" t="str">
        <f t="shared" si="3"/>
        <v>pc_desktop</v>
      </c>
      <c r="J218" t="s">
        <v>980</v>
      </c>
    </row>
    <row r="219" spans="1:10" x14ac:dyDescent="0.2">
      <c r="A219" s="3" t="s">
        <v>866</v>
      </c>
      <c r="B219">
        <v>517.0224609375</v>
      </c>
      <c r="C219">
        <v>11.7499730843113</v>
      </c>
      <c r="D219">
        <v>37.956124059939903</v>
      </c>
      <c r="E219" s="6">
        <v>40.079292124633497</v>
      </c>
      <c r="F219">
        <v>0.98875273463757196</v>
      </c>
      <c r="G219">
        <v>88.6091886972075</v>
      </c>
      <c r="H219">
        <v>86.792594056750403</v>
      </c>
      <c r="I219" t="str">
        <f t="shared" si="3"/>
        <v>pc_desktop</v>
      </c>
      <c r="J219" t="s">
        <v>980</v>
      </c>
    </row>
    <row r="220" spans="1:10" x14ac:dyDescent="0.2">
      <c r="A220" s="3" t="s">
        <v>867</v>
      </c>
      <c r="B220">
        <v>544.53515625</v>
      </c>
      <c r="C220">
        <v>11.1563044741429</v>
      </c>
      <c r="D220">
        <v>38.619165141672198</v>
      </c>
      <c r="E220" s="6">
        <v>40.741263866693501</v>
      </c>
      <c r="F220">
        <v>0.98992034581428401</v>
      </c>
      <c r="G220">
        <v>89.916730527548907</v>
      </c>
      <c r="H220">
        <v>87.531104339620697</v>
      </c>
      <c r="I220" t="str">
        <f t="shared" si="3"/>
        <v>pc_desktop</v>
      </c>
      <c r="J220" t="s">
        <v>980</v>
      </c>
    </row>
    <row r="221" spans="1:10" x14ac:dyDescent="0.2">
      <c r="A221" s="3" t="s">
        <v>868</v>
      </c>
      <c r="B221">
        <v>571.3603515625</v>
      </c>
      <c r="C221">
        <v>10.6325193608319</v>
      </c>
      <c r="D221">
        <v>39.310336698182702</v>
      </c>
      <c r="E221" s="6">
        <v>41.431522147505198</v>
      </c>
      <c r="F221">
        <v>0.99100069762881604</v>
      </c>
      <c r="G221">
        <v>91.278179775117195</v>
      </c>
      <c r="H221">
        <v>88.222528907720303</v>
      </c>
      <c r="I221" t="str">
        <f t="shared" si="3"/>
        <v>pc_desktop</v>
      </c>
      <c r="J221" t="s">
        <v>980</v>
      </c>
    </row>
    <row r="222" spans="1:10" x14ac:dyDescent="0.2">
      <c r="A222" s="3" t="s">
        <v>869</v>
      </c>
      <c r="B222">
        <v>595.0625</v>
      </c>
      <c r="C222">
        <v>10.2090116584392</v>
      </c>
      <c r="D222">
        <v>40.123100411580999</v>
      </c>
      <c r="E222" s="6">
        <v>42.242900573988997</v>
      </c>
      <c r="F222">
        <v>0.99196818548973897</v>
      </c>
      <c r="G222">
        <v>92.876816750878504</v>
      </c>
      <c r="H222">
        <v>88.848408651287897</v>
      </c>
      <c r="I222" t="str">
        <f t="shared" si="3"/>
        <v>pc_desktop</v>
      </c>
      <c r="J222" t="s">
        <v>980</v>
      </c>
    </row>
    <row r="223" spans="1:10" x14ac:dyDescent="0.2">
      <c r="A223" s="3" t="s">
        <v>870</v>
      </c>
      <c r="B223">
        <v>636.9990234375</v>
      </c>
      <c r="C223">
        <v>9.5369063004474999</v>
      </c>
      <c r="D223">
        <v>41.0253140864586</v>
      </c>
      <c r="E223" s="6">
        <v>43.144150345815099</v>
      </c>
      <c r="F223">
        <v>0.99314143424067902</v>
      </c>
      <c r="G223">
        <v>94.651147707499604</v>
      </c>
      <c r="H223">
        <v>89.615972813232503</v>
      </c>
      <c r="I223" t="str">
        <f t="shared" si="3"/>
        <v>pc_desktop</v>
      </c>
      <c r="J223" t="s">
        <v>980</v>
      </c>
    </row>
    <row r="224" spans="1:10" x14ac:dyDescent="0.2">
      <c r="A224" s="3" t="s">
        <v>871</v>
      </c>
      <c r="B224">
        <v>686.025390625</v>
      </c>
      <c r="C224">
        <v>8.8553573716351792</v>
      </c>
      <c r="D224">
        <v>42.102483958481102</v>
      </c>
      <c r="E224" s="6">
        <v>44.220196647713301</v>
      </c>
      <c r="F224">
        <v>0.99427639658576406</v>
      </c>
      <c r="G224">
        <v>96.768482822720799</v>
      </c>
      <c r="H224">
        <v>90.3675372611619</v>
      </c>
      <c r="I224" t="str">
        <f t="shared" si="3"/>
        <v>pc_desktop</v>
      </c>
      <c r="J224" t="s">
        <v>980</v>
      </c>
    </row>
    <row r="225" spans="1:10" x14ac:dyDescent="0.2">
      <c r="A225" s="3" t="s">
        <v>872</v>
      </c>
      <c r="B225">
        <v>743.521484375</v>
      </c>
      <c r="C225">
        <v>8.1705776196993298</v>
      </c>
      <c r="D225">
        <v>43.321618286514301</v>
      </c>
      <c r="E225" s="6">
        <v>45.438013917034198</v>
      </c>
      <c r="F225">
        <v>0.99537273900085599</v>
      </c>
      <c r="G225">
        <v>99.163967295411695</v>
      </c>
      <c r="H225">
        <v>91.102078529359005</v>
      </c>
      <c r="I225" t="str">
        <f t="shared" si="3"/>
        <v>pc_desktop</v>
      </c>
      <c r="J225" t="s">
        <v>980</v>
      </c>
    </row>
    <row r="226" spans="1:10" x14ac:dyDescent="0.2">
      <c r="A226" s="3" t="s">
        <v>873</v>
      </c>
      <c r="B226">
        <v>422.2529296875</v>
      </c>
      <c r="C226">
        <v>14.3871115459068</v>
      </c>
      <c r="D226">
        <v>32.7256438296114</v>
      </c>
      <c r="E226" s="6">
        <v>39.253718787623797</v>
      </c>
      <c r="F226">
        <v>0.99556670877081099</v>
      </c>
      <c r="G226">
        <v>86.974581932174004</v>
      </c>
      <c r="H226">
        <v>91.232919138684295</v>
      </c>
      <c r="I226" t="str">
        <f t="shared" si="3"/>
        <v>rainier</v>
      </c>
      <c r="J226" t="s">
        <v>980</v>
      </c>
    </row>
    <row r="227" spans="1:10" x14ac:dyDescent="0.2">
      <c r="A227" s="3" t="s">
        <v>874</v>
      </c>
      <c r="B227">
        <v>452.119140625</v>
      </c>
      <c r="C227">
        <v>13.436723761798801</v>
      </c>
      <c r="D227">
        <v>32.722713413233102</v>
      </c>
      <c r="E227" s="6">
        <v>39.239458730971499</v>
      </c>
      <c r="F227">
        <v>0.99561241522227695</v>
      </c>
      <c r="G227">
        <v>86.946297234011794</v>
      </c>
      <c r="H227">
        <v>91.263788824646994</v>
      </c>
      <c r="I227" t="str">
        <f t="shared" si="3"/>
        <v>rainier</v>
      </c>
      <c r="J227" t="s">
        <v>980</v>
      </c>
    </row>
    <row r="228" spans="1:10" x14ac:dyDescent="0.2">
      <c r="A228" s="3" t="s">
        <v>875</v>
      </c>
      <c r="B228">
        <v>470.3564453125</v>
      </c>
      <c r="C228">
        <v>12.915736694038101</v>
      </c>
      <c r="D228">
        <v>33.923144643484299</v>
      </c>
      <c r="E228" s="6">
        <v>40.436282650265099</v>
      </c>
      <c r="F228">
        <v>0.99660092426015701</v>
      </c>
      <c r="G228">
        <v>89.314598777848303</v>
      </c>
      <c r="H228">
        <v>91.935054584952894</v>
      </c>
      <c r="I228" t="str">
        <f t="shared" si="3"/>
        <v>rainier</v>
      </c>
      <c r="J228" t="s">
        <v>980</v>
      </c>
    </row>
    <row r="229" spans="1:10" x14ac:dyDescent="0.2">
      <c r="A229" s="3" t="s">
        <v>876</v>
      </c>
      <c r="B229">
        <v>486.30078125</v>
      </c>
      <c r="C229">
        <v>12.4922686416104</v>
      </c>
      <c r="D229">
        <v>35.393413807255698</v>
      </c>
      <c r="E229" s="6">
        <v>41.908356811211398</v>
      </c>
      <c r="F229">
        <v>0.99748995790447803</v>
      </c>
      <c r="G229">
        <v>92.217851430059397</v>
      </c>
      <c r="H229">
        <v>92.544747330999598</v>
      </c>
      <c r="I229" t="str">
        <f t="shared" si="3"/>
        <v>rainier</v>
      </c>
      <c r="J229" t="s">
        <v>980</v>
      </c>
    </row>
    <row r="230" spans="1:10" x14ac:dyDescent="0.2">
      <c r="A230" s="3" t="s">
        <v>877</v>
      </c>
      <c r="B230">
        <v>499.830078125</v>
      </c>
      <c r="C230">
        <v>12.154130505288901</v>
      </c>
      <c r="D230">
        <v>37.130855174638199</v>
      </c>
      <c r="E230" s="6">
        <v>43.646898559096201</v>
      </c>
      <c r="F230">
        <v>0.99824377097244599</v>
      </c>
      <c r="G230">
        <v>95.640519494423401</v>
      </c>
      <c r="H230">
        <v>93.0661826875223</v>
      </c>
      <c r="I230" t="str">
        <f t="shared" si="3"/>
        <v>rainier</v>
      </c>
      <c r="J230" t="s">
        <v>980</v>
      </c>
    </row>
    <row r="231" spans="1:10" x14ac:dyDescent="0.2">
      <c r="A231" s="3" t="s">
        <v>878</v>
      </c>
      <c r="B231">
        <v>511.828125</v>
      </c>
      <c r="C231">
        <v>11.8692187929298</v>
      </c>
      <c r="D231">
        <v>39.271911610425803</v>
      </c>
      <c r="E231" s="6">
        <v>45.790222243450998</v>
      </c>
      <c r="F231">
        <v>0.99879908092578196</v>
      </c>
      <c r="G231">
        <v>99.856676211250402</v>
      </c>
      <c r="H231">
        <v>93.452955125730597</v>
      </c>
      <c r="I231" t="str">
        <f t="shared" si="3"/>
        <v>rainier</v>
      </c>
      <c r="J231" t="s">
        <v>980</v>
      </c>
    </row>
    <row r="232" spans="1:10" x14ac:dyDescent="0.2">
      <c r="A232" s="3" t="s">
        <v>879</v>
      </c>
      <c r="B232">
        <v>521.5595703125</v>
      </c>
      <c r="C232">
        <v>11.647758656523299</v>
      </c>
      <c r="D232">
        <v>39.847869754520303</v>
      </c>
      <c r="E232" s="6">
        <v>46.370502160073102</v>
      </c>
      <c r="F232">
        <v>0.99893046656484696</v>
      </c>
      <c r="G232">
        <v>100.997885452261</v>
      </c>
      <c r="H232">
        <v>93.544795254637805</v>
      </c>
      <c r="I232" t="str">
        <f t="shared" si="3"/>
        <v>rainier</v>
      </c>
      <c r="J232" t="s">
        <v>980</v>
      </c>
    </row>
    <row r="233" spans="1:10" x14ac:dyDescent="0.2">
      <c r="A233" s="3" t="s">
        <v>880</v>
      </c>
      <c r="B233">
        <v>529.27734375</v>
      </c>
      <c r="C233">
        <v>11.4779143141813</v>
      </c>
      <c r="D233">
        <v>38.362010996304903</v>
      </c>
      <c r="E233" s="6">
        <v>44.886536707933601</v>
      </c>
      <c r="F233">
        <v>0.99864554489936597</v>
      </c>
      <c r="G233">
        <v>98.079269398049902</v>
      </c>
      <c r="H233">
        <v>93.345791966359002</v>
      </c>
      <c r="I233" t="str">
        <f t="shared" si="3"/>
        <v>rainier</v>
      </c>
      <c r="J233" t="s">
        <v>980</v>
      </c>
    </row>
    <row r="234" spans="1:10" x14ac:dyDescent="0.2">
      <c r="A234" s="3" t="s">
        <v>881</v>
      </c>
      <c r="B234">
        <v>542.712890625</v>
      </c>
      <c r="C234">
        <v>11.193763967912901</v>
      </c>
      <c r="D234">
        <v>36.734532763979999</v>
      </c>
      <c r="E234" s="6">
        <v>43.259302059799502</v>
      </c>
      <c r="F234">
        <v>0.99814447340898105</v>
      </c>
      <c r="G234">
        <v>94.877779061238101</v>
      </c>
      <c r="H234">
        <v>92.997259385448402</v>
      </c>
      <c r="I234" t="str">
        <f t="shared" si="3"/>
        <v>rainier</v>
      </c>
      <c r="J234" t="s">
        <v>980</v>
      </c>
    </row>
    <row r="235" spans="1:10" x14ac:dyDescent="0.2">
      <c r="A235" s="3" t="s">
        <v>882</v>
      </c>
      <c r="B235">
        <v>553.583984375</v>
      </c>
      <c r="C235">
        <v>10.9739446433927</v>
      </c>
      <c r="D235">
        <v>37.187367656648497</v>
      </c>
      <c r="E235" s="6">
        <v>43.705456267713402</v>
      </c>
      <c r="F235">
        <v>0.99828136746167295</v>
      </c>
      <c r="G235">
        <v>95.7557424447361</v>
      </c>
      <c r="H235">
        <v>93.092297491452001</v>
      </c>
      <c r="I235" t="str">
        <f t="shared" si="3"/>
        <v>rainier</v>
      </c>
      <c r="J235" t="s">
        <v>980</v>
      </c>
    </row>
    <row r="236" spans="1:10" x14ac:dyDescent="0.2">
      <c r="A236" s="3" t="s">
        <v>883</v>
      </c>
      <c r="B236">
        <v>572.3134765625</v>
      </c>
      <c r="C236">
        <v>10.6148120720281</v>
      </c>
      <c r="D236">
        <v>39.923907891315402</v>
      </c>
      <c r="E236" s="6">
        <v>46.4433382806574</v>
      </c>
      <c r="F236">
        <v>0.99893312803918999</v>
      </c>
      <c r="G236">
        <v>101.141124368231</v>
      </c>
      <c r="H236">
        <v>93.546656966014595</v>
      </c>
      <c r="I236" t="str">
        <f t="shared" si="3"/>
        <v>rainier</v>
      </c>
      <c r="J236" t="s">
        <v>980</v>
      </c>
    </row>
    <row r="237" spans="1:10" x14ac:dyDescent="0.2">
      <c r="A237" s="3" t="s">
        <v>884</v>
      </c>
      <c r="B237">
        <v>590.3349609375</v>
      </c>
      <c r="C237">
        <v>10.2907677877529</v>
      </c>
      <c r="D237">
        <v>39.889786946077997</v>
      </c>
      <c r="E237" s="6">
        <v>46.413035599459398</v>
      </c>
      <c r="F237">
        <v>0.99895419403235997</v>
      </c>
      <c r="G237">
        <v>101.081531471475</v>
      </c>
      <c r="H237">
        <v>93.561394543027504</v>
      </c>
      <c r="I237" t="str">
        <f t="shared" si="3"/>
        <v>rainier</v>
      </c>
      <c r="J237" t="s">
        <v>980</v>
      </c>
    </row>
    <row r="238" spans="1:10" x14ac:dyDescent="0.2">
      <c r="A238" s="3" t="s">
        <v>885</v>
      </c>
      <c r="B238">
        <v>633.2724609375</v>
      </c>
      <c r="C238">
        <v>9.5930272903491396</v>
      </c>
      <c r="D238">
        <v>38.8384256553936</v>
      </c>
      <c r="E238" s="6">
        <v>45.358623139078901</v>
      </c>
      <c r="F238">
        <v>0.99878377101323901</v>
      </c>
      <c r="G238">
        <v>99.007820062795304</v>
      </c>
      <c r="H238">
        <v>93.442261550776493</v>
      </c>
      <c r="I238" t="str">
        <f t="shared" si="3"/>
        <v>rainier</v>
      </c>
      <c r="J238" t="s">
        <v>980</v>
      </c>
    </row>
    <row r="239" spans="1:10" x14ac:dyDescent="0.2">
      <c r="A239" s="3" t="s">
        <v>886</v>
      </c>
      <c r="B239">
        <v>690.25390625</v>
      </c>
      <c r="C239">
        <v>8.8011091932882497</v>
      </c>
      <c r="D239">
        <v>40.696528766471303</v>
      </c>
      <c r="E239" s="6">
        <v>47.218563074450699</v>
      </c>
      <c r="F239">
        <v>0.99910980762130697</v>
      </c>
      <c r="G239">
        <v>102.66562797359499</v>
      </c>
      <c r="H239">
        <v>93.670361393060105</v>
      </c>
      <c r="I239" t="str">
        <f t="shared" si="3"/>
        <v>rainier</v>
      </c>
      <c r="J239" t="s">
        <v>980</v>
      </c>
    </row>
    <row r="240" spans="1:10" x14ac:dyDescent="0.2">
      <c r="A240" s="3" t="s">
        <v>887</v>
      </c>
      <c r="B240">
        <v>727.9580078125</v>
      </c>
      <c r="C240">
        <v>8.3452615876226997</v>
      </c>
      <c r="D240">
        <v>40.562135730543098</v>
      </c>
      <c r="E240" s="6">
        <v>47.082948125106498</v>
      </c>
      <c r="F240">
        <v>0.99910528491919404</v>
      </c>
      <c r="G240">
        <v>102.398942390757</v>
      </c>
      <c r="H240">
        <v>93.667191904609595</v>
      </c>
      <c r="I240" t="str">
        <f t="shared" si="3"/>
        <v>rainier</v>
      </c>
      <c r="J240" t="s">
        <v>980</v>
      </c>
    </row>
    <row r="241" spans="1:10" x14ac:dyDescent="0.2">
      <c r="A241" s="3" t="s">
        <v>888</v>
      </c>
      <c r="B241">
        <v>769.5380859375</v>
      </c>
      <c r="C241">
        <v>7.8943461162146997</v>
      </c>
      <c r="D241">
        <v>40.948012698953399</v>
      </c>
      <c r="E241" s="6">
        <v>47.469352685822102</v>
      </c>
      <c r="F241">
        <v>0.99918875784056604</v>
      </c>
      <c r="G241">
        <v>103.15879853043</v>
      </c>
      <c r="H241">
        <v>93.725713580741996</v>
      </c>
      <c r="I241" t="str">
        <f t="shared" si="3"/>
        <v>rainier</v>
      </c>
      <c r="J241" t="s">
        <v>980</v>
      </c>
    </row>
    <row r="242" spans="1:10" x14ac:dyDescent="0.2">
      <c r="A242" s="3" t="s">
        <v>889</v>
      </c>
      <c r="B242">
        <v>245.4794921875</v>
      </c>
      <c r="C242">
        <v>24.747484793392999</v>
      </c>
      <c r="D242">
        <v>32.370824939829902</v>
      </c>
      <c r="E242" s="6">
        <v>39.893491774355802</v>
      </c>
      <c r="F242">
        <v>0.951822371554779</v>
      </c>
      <c r="G242">
        <v>88.241750957944603</v>
      </c>
      <c r="H242">
        <v>67.534799546192502</v>
      </c>
      <c r="I242" t="str">
        <f t="shared" si="3"/>
        <v>room</v>
      </c>
      <c r="J242" t="s">
        <v>980</v>
      </c>
    </row>
    <row r="243" spans="1:10" x14ac:dyDescent="0.2">
      <c r="A243" s="3" t="s">
        <v>890</v>
      </c>
      <c r="B243">
        <v>256.033203125</v>
      </c>
      <c r="C243">
        <v>23.7273913142979</v>
      </c>
      <c r="D243">
        <v>32.561496294051203</v>
      </c>
      <c r="E243" s="6">
        <v>40.079399390438098</v>
      </c>
      <c r="F243">
        <v>0.95338508501773001</v>
      </c>
      <c r="G243">
        <v>88.609400762550294</v>
      </c>
      <c r="H243">
        <v>68.208539142453901</v>
      </c>
      <c r="I243" t="str">
        <f t="shared" si="3"/>
        <v>room</v>
      </c>
      <c r="J243" t="s">
        <v>980</v>
      </c>
    </row>
    <row r="244" spans="1:10" x14ac:dyDescent="0.2">
      <c r="A244" s="3" t="s">
        <v>891</v>
      </c>
      <c r="B244">
        <v>263.7109375</v>
      </c>
      <c r="C244">
        <v>23.036587172270799</v>
      </c>
      <c r="D244">
        <v>32.679815633638597</v>
      </c>
      <c r="E244" s="6">
        <v>40.198042499910997</v>
      </c>
      <c r="F244">
        <v>0.95419857764564198</v>
      </c>
      <c r="G244">
        <v>88.8439171739805</v>
      </c>
      <c r="H244">
        <v>68.563597817039394</v>
      </c>
      <c r="I244" t="str">
        <f t="shared" si="3"/>
        <v>room</v>
      </c>
      <c r="J244" t="s">
        <v>980</v>
      </c>
    </row>
    <row r="245" spans="1:10" x14ac:dyDescent="0.2">
      <c r="A245" s="3" t="s">
        <v>892</v>
      </c>
      <c r="B245">
        <v>276.4814453125</v>
      </c>
      <c r="C245">
        <v>21.972541387482899</v>
      </c>
      <c r="D245">
        <v>32.846849313766498</v>
      </c>
      <c r="E245" s="6">
        <v>40.3651715591716</v>
      </c>
      <c r="F245">
        <v>0.95556705947440002</v>
      </c>
      <c r="G245">
        <v>89.174138762350495</v>
      </c>
      <c r="H245">
        <v>69.167675688113604</v>
      </c>
      <c r="I245" t="str">
        <f t="shared" si="3"/>
        <v>room</v>
      </c>
      <c r="J245" t="s">
        <v>980</v>
      </c>
    </row>
    <row r="246" spans="1:10" x14ac:dyDescent="0.2">
      <c r="A246" s="3" t="s">
        <v>893</v>
      </c>
      <c r="B246">
        <v>285.7001953125</v>
      </c>
      <c r="C246">
        <v>21.263548641803101</v>
      </c>
      <c r="D246">
        <v>33.008260045148802</v>
      </c>
      <c r="E246" s="6">
        <v>40.530969291247999</v>
      </c>
      <c r="F246">
        <v>0.95681997530450602</v>
      </c>
      <c r="G246">
        <v>89.501586816083801</v>
      </c>
      <c r="H246">
        <v>69.728300619487101</v>
      </c>
      <c r="I246" t="str">
        <f t="shared" si="3"/>
        <v>room</v>
      </c>
      <c r="J246" t="s">
        <v>980</v>
      </c>
    </row>
    <row r="247" spans="1:10" x14ac:dyDescent="0.2">
      <c r="A247" s="3" t="s">
        <v>894</v>
      </c>
      <c r="B247">
        <v>295.95703125</v>
      </c>
      <c r="C247">
        <v>20.526628390417699</v>
      </c>
      <c r="D247">
        <v>33.169787404518303</v>
      </c>
      <c r="E247" s="6">
        <v>40.692165955552802</v>
      </c>
      <c r="F247">
        <v>0.95792993740695997</v>
      </c>
      <c r="G247">
        <v>89.819823448001898</v>
      </c>
      <c r="H247">
        <v>70.231080372285504</v>
      </c>
      <c r="I247" t="str">
        <f t="shared" si="3"/>
        <v>room</v>
      </c>
      <c r="J247" t="s">
        <v>980</v>
      </c>
    </row>
    <row r="248" spans="1:10" x14ac:dyDescent="0.2">
      <c r="A248" s="3" t="s">
        <v>895</v>
      </c>
      <c r="B248">
        <v>311.572265625</v>
      </c>
      <c r="C248">
        <v>19.497884344146701</v>
      </c>
      <c r="D248">
        <v>33.371030080914302</v>
      </c>
      <c r="E248" s="6">
        <v>40.893261120473802</v>
      </c>
      <c r="F248">
        <v>0.95939961369391702</v>
      </c>
      <c r="G248">
        <v>90.216672662353403</v>
      </c>
      <c r="H248">
        <v>70.905772142737504</v>
      </c>
      <c r="I248" t="str">
        <f t="shared" si="3"/>
        <v>room</v>
      </c>
      <c r="J248" t="s">
        <v>980</v>
      </c>
    </row>
    <row r="249" spans="1:10" x14ac:dyDescent="0.2">
      <c r="A249" s="3" t="s">
        <v>896</v>
      </c>
      <c r="B249">
        <v>323.1875</v>
      </c>
      <c r="C249">
        <v>18.797137884355099</v>
      </c>
      <c r="D249">
        <v>33.531742463265701</v>
      </c>
      <c r="E249" s="6">
        <v>41.048636476887502</v>
      </c>
      <c r="F249">
        <v>0.96034716217197802</v>
      </c>
      <c r="G249">
        <v>90.523189363225796</v>
      </c>
      <c r="H249">
        <v>71.346258853585795</v>
      </c>
      <c r="I249" t="str">
        <f t="shared" si="3"/>
        <v>room</v>
      </c>
      <c r="J249" t="s">
        <v>980</v>
      </c>
    </row>
    <row r="250" spans="1:10" x14ac:dyDescent="0.2">
      <c r="A250" s="3" t="s">
        <v>897</v>
      </c>
      <c r="B250">
        <v>344.833984375</v>
      </c>
      <c r="C250">
        <v>17.617173118858101</v>
      </c>
      <c r="D250">
        <v>33.769443462563601</v>
      </c>
      <c r="E250" s="6">
        <v>41.287478959132599</v>
      </c>
      <c r="F250">
        <v>0.96201001966767996</v>
      </c>
      <c r="G250">
        <v>90.994202960937898</v>
      </c>
      <c r="H250">
        <v>72.129833300494994</v>
      </c>
      <c r="I250" t="str">
        <f t="shared" si="3"/>
        <v>room</v>
      </c>
      <c r="J250" t="s">
        <v>980</v>
      </c>
    </row>
    <row r="251" spans="1:10" x14ac:dyDescent="0.2">
      <c r="A251" s="3" t="s">
        <v>898</v>
      </c>
      <c r="B251">
        <v>359.576171875</v>
      </c>
      <c r="C251">
        <v>16.894890360287398</v>
      </c>
      <c r="D251">
        <v>33.980246149440802</v>
      </c>
      <c r="E251" s="6">
        <v>41.498260763503403</v>
      </c>
      <c r="F251">
        <v>0.96342257488961003</v>
      </c>
      <c r="G251">
        <v>91.409732788417301</v>
      </c>
      <c r="H251">
        <v>72.806186744361199</v>
      </c>
      <c r="I251" t="str">
        <f t="shared" si="3"/>
        <v>room</v>
      </c>
      <c r="J251" t="s">
        <v>980</v>
      </c>
    </row>
    <row r="252" spans="1:10" x14ac:dyDescent="0.2">
      <c r="A252" s="3" t="s">
        <v>899</v>
      </c>
      <c r="B252">
        <v>386.6259765625</v>
      </c>
      <c r="C252">
        <v>15.7128604084313</v>
      </c>
      <c r="D252">
        <v>34.299560408501897</v>
      </c>
      <c r="E252" s="6">
        <v>41.820926075384598</v>
      </c>
      <c r="F252">
        <v>0.96565336962984105</v>
      </c>
      <c r="G252">
        <v>92.045597382123205</v>
      </c>
      <c r="H252">
        <v>73.894786676300598</v>
      </c>
      <c r="I252" t="str">
        <f t="shared" si="3"/>
        <v>room</v>
      </c>
      <c r="J252" t="s">
        <v>980</v>
      </c>
    </row>
    <row r="253" spans="1:10" x14ac:dyDescent="0.2">
      <c r="A253" s="3" t="s">
        <v>900</v>
      </c>
      <c r="B253">
        <v>413.4375</v>
      </c>
      <c r="C253">
        <v>14.6938775510204</v>
      </c>
      <c r="D253">
        <v>34.586639499323901</v>
      </c>
      <c r="E253" s="6">
        <v>42.108500585236797</v>
      </c>
      <c r="F253">
        <v>0.96750728373313599</v>
      </c>
      <c r="G253">
        <v>92.612109462332498</v>
      </c>
      <c r="H253">
        <v>74.818922348868696</v>
      </c>
      <c r="I253" t="str">
        <f t="shared" si="3"/>
        <v>room</v>
      </c>
      <c r="J253" t="s">
        <v>980</v>
      </c>
    </row>
    <row r="254" spans="1:10" x14ac:dyDescent="0.2">
      <c r="A254" s="3" t="s">
        <v>901</v>
      </c>
      <c r="B254">
        <v>437.0390625</v>
      </c>
      <c r="C254">
        <v>13.9003593071272</v>
      </c>
      <c r="D254">
        <v>34.900308853398798</v>
      </c>
      <c r="E254" s="6">
        <v>42.422112039621403</v>
      </c>
      <c r="F254">
        <v>0.96936964247920898</v>
      </c>
      <c r="G254">
        <v>93.229732792678206</v>
      </c>
      <c r="H254">
        <v>75.765430248180806</v>
      </c>
      <c r="I254" t="str">
        <f t="shared" si="3"/>
        <v>room</v>
      </c>
      <c r="J254" t="s">
        <v>980</v>
      </c>
    </row>
    <row r="255" spans="1:10" x14ac:dyDescent="0.2">
      <c r="A255" s="3" t="s">
        <v>902</v>
      </c>
      <c r="B255">
        <v>483.2939453125</v>
      </c>
      <c r="C255">
        <v>12.5699898765996</v>
      </c>
      <c r="D255">
        <v>35.317950547936398</v>
      </c>
      <c r="E255" s="6">
        <v>42.839150683978403</v>
      </c>
      <c r="F255">
        <v>0.97182083665158303</v>
      </c>
      <c r="G255">
        <v>94.050803657629103</v>
      </c>
      <c r="H255">
        <v>77.039576900690506</v>
      </c>
      <c r="I255" t="str">
        <f t="shared" si="3"/>
        <v>room</v>
      </c>
      <c r="J255" t="s">
        <v>980</v>
      </c>
    </row>
    <row r="256" spans="1:10" x14ac:dyDescent="0.2">
      <c r="A256" s="3" t="s">
        <v>903</v>
      </c>
      <c r="B256">
        <v>544.2255859375</v>
      </c>
      <c r="C256">
        <v>11.1626504835031</v>
      </c>
      <c r="D256">
        <v>35.833656635140201</v>
      </c>
      <c r="E256" s="6">
        <v>43.3553710376857</v>
      </c>
      <c r="F256">
        <v>0.97466015891424296</v>
      </c>
      <c r="G256">
        <v>95.066843308282003</v>
      </c>
      <c r="H256">
        <v>78.556842758350101</v>
      </c>
      <c r="I256" t="str">
        <f t="shared" si="3"/>
        <v>room</v>
      </c>
      <c r="J256" t="s">
        <v>980</v>
      </c>
    </row>
    <row r="257" spans="1:10" x14ac:dyDescent="0.2">
      <c r="A257" s="3" t="s">
        <v>904</v>
      </c>
      <c r="B257">
        <v>615.923828125</v>
      </c>
      <c r="C257">
        <v>9.8632326313686605</v>
      </c>
      <c r="D257">
        <v>36.452788403028002</v>
      </c>
      <c r="E257" s="6">
        <v>43.974681544353601</v>
      </c>
      <c r="F257">
        <v>0.97783100489028496</v>
      </c>
      <c r="G257">
        <v>96.285459339674901</v>
      </c>
      <c r="H257">
        <v>80.305374665058295</v>
      </c>
      <c r="I257" t="str">
        <f t="shared" si="3"/>
        <v>room</v>
      </c>
      <c r="J257" t="s">
        <v>980</v>
      </c>
    </row>
    <row r="258" spans="1:10" x14ac:dyDescent="0.2">
      <c r="A258" s="3" t="s">
        <v>905</v>
      </c>
      <c r="B258">
        <v>463.828125</v>
      </c>
      <c r="C258">
        <v>13.097524002021199</v>
      </c>
      <c r="D258">
        <v>33.950425333039298</v>
      </c>
      <c r="E258" s="6">
        <v>35.6832342849196</v>
      </c>
      <c r="F258">
        <v>0.96374489037361399</v>
      </c>
      <c r="G258">
        <v>79.755879204106904</v>
      </c>
      <c r="H258">
        <v>72.961914333833903</v>
      </c>
      <c r="I258" t="str">
        <f t="shared" si="3"/>
        <v>scratches</v>
      </c>
      <c r="J258" t="s">
        <v>980</v>
      </c>
    </row>
    <row r="259" spans="1:10" x14ac:dyDescent="0.2">
      <c r="A259" s="3" t="s">
        <v>906</v>
      </c>
      <c r="B259">
        <v>481.517578125</v>
      </c>
      <c r="C259">
        <v>12.6163618442668</v>
      </c>
      <c r="D259">
        <v>34.1115290667369</v>
      </c>
      <c r="E259" s="6">
        <v>35.844304501229303</v>
      </c>
      <c r="F259">
        <v>0.96497076775657498</v>
      </c>
      <c r="G259">
        <v>80.092421989225798</v>
      </c>
      <c r="H259">
        <v>73.558996318873596</v>
      </c>
      <c r="I259" t="str">
        <f t="shared" ref="I259:I304" si="4">MID(A259,1,(FIND(".ppm",A259))-1)</f>
        <v>scratches</v>
      </c>
      <c r="J259" t="s">
        <v>980</v>
      </c>
    </row>
    <row r="260" spans="1:10" x14ac:dyDescent="0.2">
      <c r="A260" s="3" t="s">
        <v>907</v>
      </c>
      <c r="B260">
        <v>498.0546875</v>
      </c>
      <c r="C260">
        <v>12.1974557261847</v>
      </c>
      <c r="D260">
        <v>34.270560051596199</v>
      </c>
      <c r="E260" s="6">
        <v>36.003311570529497</v>
      </c>
      <c r="F260">
        <v>0.96610098256977495</v>
      </c>
      <c r="G260">
        <v>80.422976073670995</v>
      </c>
      <c r="H260">
        <v>74.116279522071906</v>
      </c>
      <c r="I260" t="str">
        <f t="shared" si="4"/>
        <v>scratches</v>
      </c>
      <c r="J260" t="s">
        <v>980</v>
      </c>
    </row>
    <row r="261" spans="1:10" x14ac:dyDescent="0.2">
      <c r="A261" s="3" t="s">
        <v>908</v>
      </c>
      <c r="B261">
        <v>520.0205078125</v>
      </c>
      <c r="C261">
        <v>11.6822315826637</v>
      </c>
      <c r="D261">
        <v>34.457879821896</v>
      </c>
      <c r="E261" s="6">
        <v>36.190523790379203</v>
      </c>
      <c r="F261">
        <v>0.96739783673023905</v>
      </c>
      <c r="G261">
        <v>80.810217792154006</v>
      </c>
      <c r="H261">
        <v>74.763867943951695</v>
      </c>
      <c r="I261" t="str">
        <f t="shared" si="4"/>
        <v>scratches</v>
      </c>
      <c r="J261" t="s">
        <v>980</v>
      </c>
    </row>
    <row r="262" spans="1:10" x14ac:dyDescent="0.2">
      <c r="A262" s="3" t="s">
        <v>909</v>
      </c>
      <c r="B262">
        <v>538.244140625</v>
      </c>
      <c r="C262">
        <v>11.2866997361937</v>
      </c>
      <c r="D262">
        <v>34.636448225089403</v>
      </c>
      <c r="E262" s="6">
        <v>36.369046406053798</v>
      </c>
      <c r="F262">
        <v>0.96854458711735503</v>
      </c>
      <c r="G262">
        <v>81.177704625387193</v>
      </c>
      <c r="H262">
        <v>75.343842231483904</v>
      </c>
      <c r="I262" t="str">
        <f t="shared" si="4"/>
        <v>scratches</v>
      </c>
      <c r="J262" t="s">
        <v>980</v>
      </c>
    </row>
    <row r="263" spans="1:10" x14ac:dyDescent="0.2">
      <c r="A263" s="3" t="s">
        <v>910</v>
      </c>
      <c r="B263">
        <v>561.7529296875</v>
      </c>
      <c r="C263">
        <v>10.8143628256278</v>
      </c>
      <c r="D263">
        <v>34.843841895479301</v>
      </c>
      <c r="E263" s="6">
        <v>36.576399968071399</v>
      </c>
      <c r="F263">
        <v>0.96987742345903905</v>
      </c>
      <c r="G263">
        <v>81.602576482506194</v>
      </c>
      <c r="H263">
        <v>76.026707137421198</v>
      </c>
      <c r="I263" t="str">
        <f t="shared" si="4"/>
        <v>scratches</v>
      </c>
      <c r="J263" t="s">
        <v>980</v>
      </c>
    </row>
    <row r="264" spans="1:10" x14ac:dyDescent="0.2">
      <c r="A264" s="3" t="s">
        <v>911</v>
      </c>
      <c r="B264">
        <v>586.923828125</v>
      </c>
      <c r="C264">
        <v>10.3505765295087</v>
      </c>
      <c r="D264">
        <v>35.079147540529803</v>
      </c>
      <c r="E264" s="6">
        <v>36.8116950197726</v>
      </c>
      <c r="F264">
        <v>0.97125547013160995</v>
      </c>
      <c r="G264">
        <v>82.082422787292003</v>
      </c>
      <c r="H264">
        <v>76.742795557700703</v>
      </c>
      <c r="I264" t="str">
        <f t="shared" si="4"/>
        <v>scratches</v>
      </c>
      <c r="J264" t="s">
        <v>980</v>
      </c>
    </row>
    <row r="265" spans="1:10" x14ac:dyDescent="0.2">
      <c r="A265" s="3" t="s">
        <v>912</v>
      </c>
      <c r="B265">
        <v>612.9736328125</v>
      </c>
      <c r="C265">
        <v>9.9107036172602498</v>
      </c>
      <c r="D265">
        <v>35.3118879290775</v>
      </c>
      <c r="E265" s="6">
        <v>37.044389950801602</v>
      </c>
      <c r="F265">
        <v>0.97257209758122498</v>
      </c>
      <c r="G265">
        <v>82.554865152842893</v>
      </c>
      <c r="H265">
        <v>77.436662770606702</v>
      </c>
      <c r="I265" t="str">
        <f t="shared" si="4"/>
        <v>scratches</v>
      </c>
      <c r="J265" t="s">
        <v>980</v>
      </c>
    </row>
    <row r="266" spans="1:10" x14ac:dyDescent="0.2">
      <c r="A266" s="3" t="s">
        <v>913</v>
      </c>
      <c r="B266">
        <v>650.794921875</v>
      </c>
      <c r="C266">
        <v>9.3347378656510802</v>
      </c>
      <c r="D266">
        <v>35.5963664382286</v>
      </c>
      <c r="E266" s="6">
        <v>37.328808957949903</v>
      </c>
      <c r="F266">
        <v>0.97412535438387904</v>
      </c>
      <c r="G266">
        <v>83.129855715144302</v>
      </c>
      <c r="H266">
        <v>78.267603365970402</v>
      </c>
      <c r="I266" t="str">
        <f t="shared" si="4"/>
        <v>scratches</v>
      </c>
      <c r="J266" t="s">
        <v>980</v>
      </c>
    </row>
    <row r="267" spans="1:10" x14ac:dyDescent="0.2">
      <c r="A267" s="3" t="s">
        <v>914</v>
      </c>
      <c r="B267">
        <v>679.0869140625</v>
      </c>
      <c r="C267">
        <v>8.9458357600465899</v>
      </c>
      <c r="D267">
        <v>35.875888810885897</v>
      </c>
      <c r="E267" s="6">
        <v>37.608280253586798</v>
      </c>
      <c r="F267">
        <v>0.97552855569371999</v>
      </c>
      <c r="G267">
        <v>83.692564688874</v>
      </c>
      <c r="H267">
        <v>79.029958951962499</v>
      </c>
      <c r="I267" t="str">
        <f t="shared" si="4"/>
        <v>scratches</v>
      </c>
      <c r="J267" t="s">
        <v>980</v>
      </c>
    </row>
    <row r="268" spans="1:10" x14ac:dyDescent="0.2">
      <c r="A268" s="3" t="s">
        <v>915</v>
      </c>
      <c r="B268">
        <v>728.7822265625</v>
      </c>
      <c r="C268">
        <v>8.3358234855073103</v>
      </c>
      <c r="D268">
        <v>36.241857399688101</v>
      </c>
      <c r="E268" s="6">
        <v>37.974192123635902</v>
      </c>
      <c r="F268">
        <v>0.97726246649817805</v>
      </c>
      <c r="G268">
        <v>84.426448393214201</v>
      </c>
      <c r="H268">
        <v>79.987576366150094</v>
      </c>
      <c r="I268" t="str">
        <f t="shared" si="4"/>
        <v>scratches</v>
      </c>
      <c r="J268" t="s">
        <v>980</v>
      </c>
    </row>
    <row r="269" spans="1:10" x14ac:dyDescent="0.2">
      <c r="A269" s="3" t="s">
        <v>916</v>
      </c>
      <c r="B269">
        <v>776.365234375</v>
      </c>
      <c r="C269">
        <v>7.8249253457241403</v>
      </c>
      <c r="D269">
        <v>36.626659957996701</v>
      </c>
      <c r="E269" s="6">
        <v>38.358942020092002</v>
      </c>
      <c r="F269">
        <v>0.97895462586259396</v>
      </c>
      <c r="G269">
        <v>85.1952171974484</v>
      </c>
      <c r="H269">
        <v>80.939039824153497</v>
      </c>
      <c r="I269" t="str">
        <f t="shared" si="4"/>
        <v>scratches</v>
      </c>
      <c r="J269" t="s">
        <v>980</v>
      </c>
    </row>
    <row r="270" spans="1:10" x14ac:dyDescent="0.2">
      <c r="A270" s="3" t="s">
        <v>917</v>
      </c>
      <c r="B270">
        <v>819.0498046875</v>
      </c>
      <c r="C270">
        <v>7.4171313700732204</v>
      </c>
      <c r="D270">
        <v>37.019663728155798</v>
      </c>
      <c r="E270" s="6">
        <v>38.751901431813103</v>
      </c>
      <c r="F270">
        <v>0.98050162115079298</v>
      </c>
      <c r="G270">
        <v>85.977916685021796</v>
      </c>
      <c r="H270">
        <v>81.823755016010196</v>
      </c>
      <c r="I270" t="str">
        <f t="shared" si="4"/>
        <v>scratches</v>
      </c>
      <c r="J270" t="s">
        <v>980</v>
      </c>
    </row>
    <row r="271" spans="1:10" x14ac:dyDescent="0.2">
      <c r="A271" s="3" t="s">
        <v>918</v>
      </c>
      <c r="B271">
        <v>898.3583984375</v>
      </c>
      <c r="C271">
        <v>6.7623345098862</v>
      </c>
      <c r="D271">
        <v>37.565101163395703</v>
      </c>
      <c r="E271" s="6">
        <v>39.2972943659463</v>
      </c>
      <c r="F271">
        <v>0.98255651823700296</v>
      </c>
      <c r="G271">
        <v>87.061001520272896</v>
      </c>
      <c r="H271">
        <v>83.021325972709505</v>
      </c>
      <c r="I271" t="str">
        <f t="shared" si="4"/>
        <v>scratches</v>
      </c>
      <c r="J271" t="s">
        <v>980</v>
      </c>
    </row>
    <row r="272" spans="1:10" x14ac:dyDescent="0.2">
      <c r="A272" s="3" t="s">
        <v>919</v>
      </c>
      <c r="B272">
        <v>994.50390625</v>
      </c>
      <c r="C272">
        <v>6.1085732914887698</v>
      </c>
      <c r="D272">
        <v>38.199286917282002</v>
      </c>
      <c r="E272" s="6">
        <v>39.931441989467203</v>
      </c>
      <c r="F272">
        <v>0.98469784563481499</v>
      </c>
      <c r="G272">
        <v>88.316819296606994</v>
      </c>
      <c r="H272">
        <v>84.297013047182404</v>
      </c>
      <c r="I272" t="str">
        <f t="shared" si="4"/>
        <v>scratches</v>
      </c>
      <c r="J272" t="s">
        <v>980</v>
      </c>
    </row>
    <row r="273" spans="1:10" x14ac:dyDescent="0.2">
      <c r="A273" s="3" t="s">
        <v>920</v>
      </c>
      <c r="B273">
        <v>1107.6630859375</v>
      </c>
      <c r="C273">
        <v>5.4845196857474603</v>
      </c>
      <c r="D273">
        <v>38.963834503017097</v>
      </c>
      <c r="E273" s="6">
        <v>40.695973251166798</v>
      </c>
      <c r="F273">
        <v>0.98693261974955604</v>
      </c>
      <c r="G273">
        <v>89.827338470722097</v>
      </c>
      <c r="H273">
        <v>85.659267836764897</v>
      </c>
      <c r="I273" t="str">
        <f t="shared" si="4"/>
        <v>scratches</v>
      </c>
      <c r="J273" t="s">
        <v>980</v>
      </c>
    </row>
    <row r="274" spans="1:10" x14ac:dyDescent="0.2">
      <c r="A274" s="3" t="s">
        <v>921</v>
      </c>
      <c r="B274">
        <v>261.6826171875</v>
      </c>
      <c r="C274">
        <v>23.215145374548001</v>
      </c>
      <c r="D274">
        <v>34.198203281885903</v>
      </c>
      <c r="E274" s="6">
        <v>39.543476720896699</v>
      </c>
      <c r="F274">
        <v>0.98420900298759695</v>
      </c>
      <c r="G274">
        <v>87.548907175676604</v>
      </c>
      <c r="H274">
        <v>84.003259579998897</v>
      </c>
      <c r="I274" t="str">
        <f t="shared" si="4"/>
        <v>shop</v>
      </c>
      <c r="J274" t="s">
        <v>980</v>
      </c>
    </row>
    <row r="275" spans="1:10" x14ac:dyDescent="0.2">
      <c r="A275" s="3" t="s">
        <v>922</v>
      </c>
      <c r="B275">
        <v>269.7578125</v>
      </c>
      <c r="C275">
        <v>22.520200411248499</v>
      </c>
      <c r="D275">
        <v>34.395427745946797</v>
      </c>
      <c r="E275" s="6">
        <v>39.739113193996502</v>
      </c>
      <c r="F275">
        <v>0.98460699705954002</v>
      </c>
      <c r="G275">
        <v>87.936275943088702</v>
      </c>
      <c r="H275">
        <v>84.242306710647696</v>
      </c>
      <c r="I275" t="str">
        <f t="shared" si="4"/>
        <v>shop</v>
      </c>
      <c r="J275" t="s">
        <v>980</v>
      </c>
    </row>
    <row r="276" spans="1:10" x14ac:dyDescent="0.2">
      <c r="A276" s="3" t="s">
        <v>923</v>
      </c>
      <c r="B276">
        <v>278.013671875</v>
      </c>
      <c r="C276">
        <v>21.8514433445972</v>
      </c>
      <c r="D276">
        <v>34.579923571108601</v>
      </c>
      <c r="E276" s="6">
        <v>39.924026578865302</v>
      </c>
      <c r="F276">
        <v>0.98500982831221695</v>
      </c>
      <c r="G276">
        <v>88.302151821097496</v>
      </c>
      <c r="H276">
        <v>84.485277048313904</v>
      </c>
      <c r="I276" t="str">
        <f t="shared" si="4"/>
        <v>shop</v>
      </c>
      <c r="J276" t="s">
        <v>980</v>
      </c>
    </row>
    <row r="277" spans="1:10" x14ac:dyDescent="0.2">
      <c r="A277" s="3" t="s">
        <v>924</v>
      </c>
      <c r="B277">
        <v>289.1796875</v>
      </c>
      <c r="C277">
        <v>21.007699581250801</v>
      </c>
      <c r="D277">
        <v>34.794604883560503</v>
      </c>
      <c r="E277" s="6">
        <v>40.139298670250398</v>
      </c>
      <c r="F277">
        <v>0.985519045531011</v>
      </c>
      <c r="G277">
        <v>88.7278112901204</v>
      </c>
      <c r="H277">
        <v>84.793886989855295</v>
      </c>
      <c r="I277" t="str">
        <f t="shared" si="4"/>
        <v>shop</v>
      </c>
      <c r="J277" t="s">
        <v>980</v>
      </c>
    </row>
    <row r="278" spans="1:10" x14ac:dyDescent="0.2">
      <c r="A278" s="3" t="s">
        <v>925</v>
      </c>
      <c r="B278">
        <v>298.150390625</v>
      </c>
      <c r="C278">
        <v>20.3756231453034</v>
      </c>
      <c r="D278">
        <v>35.027921869333497</v>
      </c>
      <c r="E278" s="6">
        <v>40.374309759987703</v>
      </c>
      <c r="F278">
        <v>0.98617189270043304</v>
      </c>
      <c r="G278">
        <v>89.192190158997207</v>
      </c>
      <c r="H278">
        <v>85.191961806059695</v>
      </c>
      <c r="I278" t="str">
        <f t="shared" si="4"/>
        <v>shop</v>
      </c>
      <c r="J278" t="s">
        <v>980</v>
      </c>
    </row>
    <row r="279" spans="1:10" x14ac:dyDescent="0.2">
      <c r="A279" s="3" t="s">
        <v>926</v>
      </c>
      <c r="B279">
        <v>308.6083984375</v>
      </c>
      <c r="C279">
        <v>19.685141528092</v>
      </c>
      <c r="D279">
        <v>35.269483661106399</v>
      </c>
      <c r="E279" s="6">
        <v>40.6159505957432</v>
      </c>
      <c r="F279">
        <v>0.98670498976015297</v>
      </c>
      <c r="G279">
        <v>89.669372621836104</v>
      </c>
      <c r="H279">
        <v>85.519046203012707</v>
      </c>
      <c r="I279" t="str">
        <f t="shared" si="4"/>
        <v>shop</v>
      </c>
      <c r="J279" t="s">
        <v>980</v>
      </c>
    </row>
    <row r="280" spans="1:10" x14ac:dyDescent="0.2">
      <c r="A280" s="3" t="s">
        <v>927</v>
      </c>
      <c r="B280">
        <v>321.9560546875</v>
      </c>
      <c r="C280">
        <v>18.8690348000959</v>
      </c>
      <c r="D280">
        <v>35.529610876082401</v>
      </c>
      <c r="E280" s="6">
        <v>40.8757706573831</v>
      </c>
      <c r="F280">
        <v>0.98720920178113303</v>
      </c>
      <c r="G280">
        <v>90.182162705627107</v>
      </c>
      <c r="H280">
        <v>85.830095382539895</v>
      </c>
      <c r="I280" t="str">
        <f t="shared" si="4"/>
        <v>shop</v>
      </c>
      <c r="J280" t="s">
        <v>980</v>
      </c>
    </row>
    <row r="281" spans="1:10" x14ac:dyDescent="0.2">
      <c r="A281" s="3" t="s">
        <v>928</v>
      </c>
      <c r="B281">
        <v>333.1533203125</v>
      </c>
      <c r="C281">
        <v>18.234847529964899</v>
      </c>
      <c r="D281">
        <v>35.767310793348102</v>
      </c>
      <c r="E281" s="6">
        <v>41.110786674883002</v>
      </c>
      <c r="F281">
        <v>0.98765008494559203</v>
      </c>
      <c r="G281">
        <v>90.645771990230998</v>
      </c>
      <c r="H281">
        <v>86.103428211579299</v>
      </c>
      <c r="I281" t="str">
        <f t="shared" si="4"/>
        <v>shop</v>
      </c>
      <c r="J281" t="s">
        <v>980</v>
      </c>
    </row>
    <row r="282" spans="1:10" x14ac:dyDescent="0.2">
      <c r="A282" s="3" t="s">
        <v>929</v>
      </c>
      <c r="B282">
        <v>354.0205078125</v>
      </c>
      <c r="C282">
        <v>17.160022840308201</v>
      </c>
      <c r="D282">
        <v>36.082265782282299</v>
      </c>
      <c r="E282" s="6">
        <v>41.426538512883397</v>
      </c>
      <c r="F282">
        <v>0.98823573136875398</v>
      </c>
      <c r="G282">
        <v>91.268355696029701</v>
      </c>
      <c r="H282">
        <v>86.468469722840197</v>
      </c>
      <c r="I282" t="str">
        <f t="shared" si="4"/>
        <v>shop</v>
      </c>
      <c r="J282" t="s">
        <v>980</v>
      </c>
    </row>
    <row r="283" spans="1:10" x14ac:dyDescent="0.2">
      <c r="A283" s="3" t="s">
        <v>930</v>
      </c>
      <c r="B283">
        <v>367.212890625</v>
      </c>
      <c r="C283">
        <v>16.543536883087899</v>
      </c>
      <c r="D283">
        <v>36.367569309505797</v>
      </c>
      <c r="E283" s="6">
        <v>41.711942764808903</v>
      </c>
      <c r="F283">
        <v>0.98871575632077202</v>
      </c>
      <c r="G283">
        <v>91.830856618457801</v>
      </c>
      <c r="H283">
        <v>86.769352861273305</v>
      </c>
      <c r="I283" t="str">
        <f t="shared" si="4"/>
        <v>shop</v>
      </c>
      <c r="J283" t="s">
        <v>980</v>
      </c>
    </row>
    <row r="284" spans="1:10" x14ac:dyDescent="0.2">
      <c r="A284" s="3" t="s">
        <v>226</v>
      </c>
      <c r="B284">
        <v>393.203125</v>
      </c>
      <c r="C284">
        <v>15.4500298032982</v>
      </c>
      <c r="D284">
        <v>36.767153184022497</v>
      </c>
      <c r="E284" s="6">
        <v>42.113926338491503</v>
      </c>
      <c r="F284">
        <v>0.98941928181009198</v>
      </c>
      <c r="G284">
        <v>92.622796400903695</v>
      </c>
      <c r="H284">
        <v>87.213074518129403</v>
      </c>
      <c r="I284" t="str">
        <f t="shared" si="4"/>
        <v>shop</v>
      </c>
      <c r="J284" t="s">
        <v>980</v>
      </c>
    </row>
    <row r="285" spans="1:10" x14ac:dyDescent="0.2">
      <c r="A285" s="3" t="s">
        <v>227</v>
      </c>
      <c r="B285">
        <v>418.5244140625</v>
      </c>
      <c r="C285">
        <v>14.515282253266101</v>
      </c>
      <c r="D285">
        <v>37.139689883999999</v>
      </c>
      <c r="E285" s="6">
        <v>42.486777456957</v>
      </c>
      <c r="F285">
        <v>0.99002121613493299</v>
      </c>
      <c r="G285">
        <v>93.357063603287301</v>
      </c>
      <c r="H285">
        <v>87.595330058959206</v>
      </c>
      <c r="I285" t="str">
        <f t="shared" si="4"/>
        <v>shop</v>
      </c>
      <c r="J285" t="s">
        <v>980</v>
      </c>
    </row>
    <row r="286" spans="1:10" x14ac:dyDescent="0.2">
      <c r="A286" s="3" t="s">
        <v>228</v>
      </c>
      <c r="B286">
        <v>438.052734375</v>
      </c>
      <c r="C286">
        <v>13.8681933093458</v>
      </c>
      <c r="D286">
        <v>37.528995532323798</v>
      </c>
      <c r="E286" s="6">
        <v>42.876133991217301</v>
      </c>
      <c r="F286">
        <v>0.99051337333385903</v>
      </c>
      <c r="G286">
        <v>94.123605395288905</v>
      </c>
      <c r="H286">
        <v>87.909671076274904</v>
      </c>
      <c r="I286" t="str">
        <f t="shared" si="4"/>
        <v>shop</v>
      </c>
      <c r="J286" t="s">
        <v>980</v>
      </c>
    </row>
    <row r="287" spans="1:10" x14ac:dyDescent="0.2">
      <c r="A287" s="3" t="s">
        <v>229</v>
      </c>
      <c r="B287">
        <v>483.849609375</v>
      </c>
      <c r="C287">
        <v>12.555554210010101</v>
      </c>
      <c r="D287">
        <v>38.019941918569998</v>
      </c>
      <c r="E287" s="6">
        <v>43.366705506973801</v>
      </c>
      <c r="F287">
        <v>0.99121724355966501</v>
      </c>
      <c r="G287">
        <v>95.0891490182307</v>
      </c>
      <c r="H287">
        <v>88.362063682477995</v>
      </c>
      <c r="I287" t="str">
        <f t="shared" si="4"/>
        <v>shop</v>
      </c>
      <c r="J287" t="s">
        <v>980</v>
      </c>
    </row>
    <row r="288" spans="1:10" x14ac:dyDescent="0.2">
      <c r="A288" s="3" t="s">
        <v>230</v>
      </c>
      <c r="B288">
        <v>536.7373046875</v>
      </c>
      <c r="C288">
        <v>11.318386009217299</v>
      </c>
      <c r="D288">
        <v>38.561290331266001</v>
      </c>
      <c r="E288" s="6">
        <v>43.908513411730297</v>
      </c>
      <c r="F288">
        <v>0.99187549031682798</v>
      </c>
      <c r="G288">
        <v>96.155274322824098</v>
      </c>
      <c r="H288">
        <v>88.788167388368905</v>
      </c>
      <c r="I288" t="str">
        <f t="shared" si="4"/>
        <v>shop</v>
      </c>
      <c r="J288" t="s">
        <v>980</v>
      </c>
    </row>
    <row r="289" spans="1:10" x14ac:dyDescent="0.2">
      <c r="A289" s="3" t="s">
        <v>231</v>
      </c>
      <c r="B289">
        <v>601.09765625</v>
      </c>
      <c r="C289">
        <v>10.1065108752867</v>
      </c>
      <c r="D289">
        <v>39.155172273796303</v>
      </c>
      <c r="E289" s="6">
        <v>44.502560204532202</v>
      </c>
      <c r="F289">
        <v>0.99258995038096598</v>
      </c>
      <c r="G289">
        <v>97.323958702668804</v>
      </c>
      <c r="H289">
        <v>89.254003129537296</v>
      </c>
      <c r="I289" t="str">
        <f t="shared" si="4"/>
        <v>shop</v>
      </c>
      <c r="J289" t="s">
        <v>980</v>
      </c>
    </row>
    <row r="290" spans="1:10" x14ac:dyDescent="0.2">
      <c r="A290" s="3" t="s">
        <v>931</v>
      </c>
      <c r="B290">
        <v>388.6787109375</v>
      </c>
      <c r="C290">
        <v>15.629875856454801</v>
      </c>
      <c r="D290">
        <v>30.859376517278399</v>
      </c>
      <c r="E290" s="6">
        <v>37.186759053800799</v>
      </c>
      <c r="F290">
        <v>0.96570264282399099</v>
      </c>
      <c r="G290">
        <v>82.842999060639798</v>
      </c>
      <c r="H290">
        <v>73.919118022732803</v>
      </c>
      <c r="I290" t="str">
        <f t="shared" si="4"/>
        <v>street</v>
      </c>
      <c r="J290" t="s">
        <v>980</v>
      </c>
    </row>
    <row r="291" spans="1:10" x14ac:dyDescent="0.2">
      <c r="A291" s="3" t="s">
        <v>932</v>
      </c>
      <c r="B291">
        <v>402.88671875</v>
      </c>
      <c r="C291">
        <v>15.0786802276539</v>
      </c>
      <c r="D291">
        <v>31.067048150755699</v>
      </c>
      <c r="E291" s="6">
        <v>37.392381788213903</v>
      </c>
      <c r="F291">
        <v>0.96704196558608202</v>
      </c>
      <c r="G291">
        <v>83.258043839455297</v>
      </c>
      <c r="H291">
        <v>74.585290059287402</v>
      </c>
      <c r="I291" t="str">
        <f t="shared" si="4"/>
        <v>street</v>
      </c>
      <c r="J291" t="s">
        <v>980</v>
      </c>
    </row>
    <row r="292" spans="1:10" x14ac:dyDescent="0.2">
      <c r="A292" s="3" t="s">
        <v>933</v>
      </c>
      <c r="B292">
        <v>415.3564453125</v>
      </c>
      <c r="C292">
        <v>14.6259918885558</v>
      </c>
      <c r="D292">
        <v>31.2423600812578</v>
      </c>
      <c r="E292" s="6">
        <v>37.568019229078601</v>
      </c>
      <c r="F292">
        <v>0.96803498542431499</v>
      </c>
      <c r="G292">
        <v>83.611626144752805</v>
      </c>
      <c r="H292">
        <v>75.085252288257195</v>
      </c>
      <c r="I292" t="str">
        <f t="shared" si="4"/>
        <v>street</v>
      </c>
      <c r="J292" t="s">
        <v>980</v>
      </c>
    </row>
    <row r="293" spans="1:10" x14ac:dyDescent="0.2">
      <c r="A293" s="3" t="s">
        <v>934</v>
      </c>
      <c r="B293">
        <v>432.6005859375</v>
      </c>
      <c r="C293">
        <v>14.042976818523501</v>
      </c>
      <c r="D293">
        <v>31.454537635613399</v>
      </c>
      <c r="E293" s="6">
        <v>37.780278811806902</v>
      </c>
      <c r="F293">
        <v>0.96927600742337505</v>
      </c>
      <c r="G293">
        <v>84.037902012177199</v>
      </c>
      <c r="H293">
        <v>75.717401685516705</v>
      </c>
      <c r="I293" t="str">
        <f t="shared" si="4"/>
        <v>street</v>
      </c>
      <c r="J293" t="s">
        <v>980</v>
      </c>
    </row>
    <row r="294" spans="1:10" x14ac:dyDescent="0.2">
      <c r="A294" s="3" t="s">
        <v>935</v>
      </c>
      <c r="B294">
        <v>446.5146484375</v>
      </c>
      <c r="C294">
        <v>13.605376713302499</v>
      </c>
      <c r="D294">
        <v>31.679326750283401</v>
      </c>
      <c r="E294" s="6">
        <v>38.006816696977701</v>
      </c>
      <c r="F294">
        <v>0.97064215687489896</v>
      </c>
      <c r="G294">
        <v>84.4917422011616</v>
      </c>
      <c r="H294">
        <v>76.422820652924898</v>
      </c>
      <c r="I294" t="str">
        <f t="shared" si="4"/>
        <v>street</v>
      </c>
      <c r="J294" t="s">
        <v>980</v>
      </c>
    </row>
    <row r="295" spans="1:10" x14ac:dyDescent="0.2">
      <c r="A295" s="3" t="s">
        <v>936</v>
      </c>
      <c r="B295">
        <v>464.0390625</v>
      </c>
      <c r="C295">
        <v>13.0915702813273</v>
      </c>
      <c r="D295">
        <v>31.9222718829988</v>
      </c>
      <c r="E295" s="6">
        <v>38.249714166718803</v>
      </c>
      <c r="F295">
        <v>0.971929051440378</v>
      </c>
      <c r="G295">
        <v>84.977235871300294</v>
      </c>
      <c r="H295">
        <v>77.096582871249197</v>
      </c>
      <c r="I295" t="str">
        <f t="shared" si="4"/>
        <v>street</v>
      </c>
      <c r="J295" t="s">
        <v>980</v>
      </c>
    </row>
    <row r="296" spans="1:10" x14ac:dyDescent="0.2">
      <c r="A296" s="3" t="s">
        <v>937</v>
      </c>
      <c r="B296">
        <v>484.515625</v>
      </c>
      <c r="C296">
        <v>12.538295333612799</v>
      </c>
      <c r="D296">
        <v>32.197539107676803</v>
      </c>
      <c r="E296" s="6">
        <v>38.525015047135703</v>
      </c>
      <c r="F296">
        <v>0.97331670077942101</v>
      </c>
      <c r="G296">
        <v>85.526276704129998</v>
      </c>
      <c r="H296">
        <v>77.833317466685699</v>
      </c>
      <c r="I296" t="str">
        <f t="shared" si="4"/>
        <v>street</v>
      </c>
      <c r="J296" t="s">
        <v>980</v>
      </c>
    </row>
    <row r="297" spans="1:10" x14ac:dyDescent="0.2">
      <c r="A297" s="3" t="s">
        <v>938</v>
      </c>
      <c r="B297">
        <v>502.701171875</v>
      </c>
      <c r="C297">
        <v>12.0847142196649</v>
      </c>
      <c r="D297">
        <v>32.452019140217402</v>
      </c>
      <c r="E297" s="6">
        <v>38.777093981173898</v>
      </c>
      <c r="F297">
        <v>0.97441979933392497</v>
      </c>
      <c r="G297">
        <v>86.028022308308707</v>
      </c>
      <c r="H297">
        <v>78.426648486846503</v>
      </c>
      <c r="I297" t="str">
        <f t="shared" si="4"/>
        <v>street</v>
      </c>
      <c r="J297" t="s">
        <v>980</v>
      </c>
    </row>
    <row r="298" spans="1:10" x14ac:dyDescent="0.2">
      <c r="A298" s="3" t="s">
        <v>939</v>
      </c>
      <c r="B298">
        <v>532.7158203125</v>
      </c>
      <c r="C298">
        <v>11.4038287739161</v>
      </c>
      <c r="D298">
        <v>32.793719650137497</v>
      </c>
      <c r="E298" s="6">
        <v>39.119588154558599</v>
      </c>
      <c r="F298">
        <v>0.97595864820899403</v>
      </c>
      <c r="G298">
        <v>86.708454543097602</v>
      </c>
      <c r="H298">
        <v>79.265876100315396</v>
      </c>
      <c r="I298" t="str">
        <f t="shared" si="4"/>
        <v>street</v>
      </c>
      <c r="J298" t="s">
        <v>980</v>
      </c>
    </row>
    <row r="299" spans="1:10" x14ac:dyDescent="0.2">
      <c r="A299" s="3" t="s">
        <v>940</v>
      </c>
      <c r="B299">
        <v>554.3134765625</v>
      </c>
      <c r="C299">
        <v>10.9595026223668</v>
      </c>
      <c r="D299">
        <v>33.119298634456598</v>
      </c>
      <c r="E299" s="6">
        <v>39.445318294969503</v>
      </c>
      <c r="F299">
        <v>0.977285777710169</v>
      </c>
      <c r="G299">
        <v>87.354432278984802</v>
      </c>
      <c r="H299">
        <v>80.000569588132507</v>
      </c>
      <c r="I299" t="str">
        <f t="shared" si="4"/>
        <v>street</v>
      </c>
      <c r="J299" t="s">
        <v>980</v>
      </c>
    </row>
    <row r="300" spans="1:10" x14ac:dyDescent="0.2">
      <c r="A300" s="3" t="s">
        <v>941</v>
      </c>
      <c r="B300">
        <v>591.361328125</v>
      </c>
      <c r="C300">
        <v>10.272907123064201</v>
      </c>
      <c r="D300">
        <v>33.540532873129699</v>
      </c>
      <c r="E300" s="6">
        <v>39.868185821780301</v>
      </c>
      <c r="F300">
        <v>0.97898976720848396</v>
      </c>
      <c r="G300">
        <v>88.191688503884293</v>
      </c>
      <c r="H300">
        <v>80.9589782208418</v>
      </c>
      <c r="I300" t="str">
        <f t="shared" si="4"/>
        <v>street</v>
      </c>
      <c r="J300" t="s">
        <v>980</v>
      </c>
    </row>
    <row r="301" spans="1:10" x14ac:dyDescent="0.2">
      <c r="A301" s="3" t="s">
        <v>942</v>
      </c>
      <c r="B301">
        <v>627.4462890625</v>
      </c>
      <c r="C301">
        <v>9.6821036412168002</v>
      </c>
      <c r="D301">
        <v>33.9642421955066</v>
      </c>
      <c r="E301" s="6">
        <v>40.292159614755299</v>
      </c>
      <c r="F301">
        <v>0.98058350784925796</v>
      </c>
      <c r="G301">
        <v>89.0298968905268</v>
      </c>
      <c r="H301">
        <v>81.870986071867705</v>
      </c>
      <c r="I301" t="str">
        <f t="shared" si="4"/>
        <v>street</v>
      </c>
      <c r="J301" t="s">
        <v>980</v>
      </c>
    </row>
    <row r="302" spans="1:10" x14ac:dyDescent="0.2">
      <c r="A302" s="3" t="s">
        <v>943</v>
      </c>
      <c r="B302">
        <v>659.783203125</v>
      </c>
      <c r="C302">
        <v>9.2075699581716304</v>
      </c>
      <c r="D302">
        <v>34.430594697868202</v>
      </c>
      <c r="E302" s="6">
        <v>40.758508951345298</v>
      </c>
      <c r="F302">
        <v>0.98205975694968395</v>
      </c>
      <c r="G302">
        <v>89.9507656342319</v>
      </c>
      <c r="H302">
        <v>82.729451492034102</v>
      </c>
      <c r="I302" t="str">
        <f t="shared" si="4"/>
        <v>street</v>
      </c>
      <c r="J302" t="s">
        <v>980</v>
      </c>
    </row>
    <row r="303" spans="1:10" x14ac:dyDescent="0.2">
      <c r="A303" s="3" t="s">
        <v>944</v>
      </c>
      <c r="B303">
        <v>719.8212890625</v>
      </c>
      <c r="C303">
        <v>8.4395947887455804</v>
      </c>
      <c r="D303">
        <v>34.999838831956701</v>
      </c>
      <c r="E303" s="6">
        <v>41.327517996878697</v>
      </c>
      <c r="F303">
        <v>0.98383848700733101</v>
      </c>
      <c r="G303">
        <v>91.073144883283902</v>
      </c>
      <c r="H303">
        <v>83.781611297046993</v>
      </c>
      <c r="I303" t="str">
        <f t="shared" si="4"/>
        <v>street</v>
      </c>
      <c r="J303" t="s">
        <v>980</v>
      </c>
    </row>
    <row r="304" spans="1:10" x14ac:dyDescent="0.2">
      <c r="A304" s="3" t="s">
        <v>945</v>
      </c>
      <c r="B304">
        <v>794.4599609375</v>
      </c>
      <c r="C304">
        <v>7.6467037971696099</v>
      </c>
      <c r="D304">
        <v>35.6703674044332</v>
      </c>
      <c r="E304" s="6">
        <v>41.9983579361785</v>
      </c>
      <c r="F304">
        <v>0.98565046884549501</v>
      </c>
      <c r="G304">
        <v>92.395152415195099</v>
      </c>
      <c r="H304">
        <v>84.873803674195599</v>
      </c>
      <c r="I304" t="str">
        <f t="shared" si="4"/>
        <v>street</v>
      </c>
      <c r="J304" t="s">
        <v>980</v>
      </c>
    </row>
    <row r="305" spans="1:10" x14ac:dyDescent="0.2">
      <c r="A305" s="3" t="s">
        <v>946</v>
      </c>
      <c r="B305">
        <v>881.2548828125</v>
      </c>
      <c r="C305">
        <v>6.8935788254719297</v>
      </c>
      <c r="D305">
        <v>36.415946567525701</v>
      </c>
      <c r="E305" s="6">
        <v>42.744140535234401</v>
      </c>
      <c r="F305">
        <v>0.98745452618535101</v>
      </c>
      <c r="G305">
        <v>93.863767892934106</v>
      </c>
      <c r="H305">
        <v>85.982032313120001</v>
      </c>
      <c r="I305" t="str">
        <f>MID(A305,1,(FIND(".ppm",A305))-1)</f>
        <v>street</v>
      </c>
      <c r="J305" t="s">
        <v>980</v>
      </c>
    </row>
    <row r="306" spans="1:10" x14ac:dyDescent="0.2">
      <c r="A306" s="3" t="s">
        <v>947</v>
      </c>
      <c r="B306">
        <v>207.04296875</v>
      </c>
      <c r="C306">
        <v>29.341735373469401</v>
      </c>
      <c r="D306">
        <v>32.645755123350902</v>
      </c>
      <c r="E306" s="6">
        <v>40.709301239999697</v>
      </c>
      <c r="F306">
        <v>0.97536095288027203</v>
      </c>
      <c r="G306">
        <v>89.853645405419897</v>
      </c>
      <c r="H306">
        <v>78.938311367357301</v>
      </c>
      <c r="I306" t="str">
        <f t="shared" ref="I306:I337" si="5">MID(A306,1,(FIND(".ppm",A306))-1)</f>
        <v>tatemono</v>
      </c>
      <c r="J306" t="s">
        <v>980</v>
      </c>
    </row>
    <row r="307" spans="1:10" x14ac:dyDescent="0.2">
      <c r="A307" s="3" t="s">
        <v>948</v>
      </c>
      <c r="B307">
        <v>213.3203125</v>
      </c>
      <c r="C307">
        <v>28.4783006775316</v>
      </c>
      <c r="D307">
        <v>32.8797322718587</v>
      </c>
      <c r="E307" s="6">
        <v>40.940734403886502</v>
      </c>
      <c r="F307">
        <v>0.97613335856800498</v>
      </c>
      <c r="G307">
        <v>90.310335025529895</v>
      </c>
      <c r="H307">
        <v>79.362012937252103</v>
      </c>
      <c r="I307" t="str">
        <f t="shared" si="5"/>
        <v>tatemono</v>
      </c>
      <c r="J307" t="s">
        <v>980</v>
      </c>
    </row>
    <row r="308" spans="1:10" x14ac:dyDescent="0.2">
      <c r="A308" s="3" t="s">
        <v>949</v>
      </c>
      <c r="B308">
        <v>219.947265625</v>
      </c>
      <c r="C308">
        <v>27.620256986316001</v>
      </c>
      <c r="D308">
        <v>33.074453370341203</v>
      </c>
      <c r="E308" s="6">
        <v>41.135802249219502</v>
      </c>
      <c r="F308">
        <v>0.97666887096782795</v>
      </c>
      <c r="G308">
        <v>90.695108012571694</v>
      </c>
      <c r="H308">
        <v>79.657783350643697</v>
      </c>
      <c r="I308" t="str">
        <f t="shared" si="5"/>
        <v>tatemono</v>
      </c>
      <c r="J308" t="s">
        <v>980</v>
      </c>
    </row>
    <row r="309" spans="1:10" x14ac:dyDescent="0.2">
      <c r="A309" s="3" t="s">
        <v>950</v>
      </c>
      <c r="B309">
        <v>228.4580078125</v>
      </c>
      <c r="C309">
        <v>26.591320033683701</v>
      </c>
      <c r="D309">
        <v>33.306848299639597</v>
      </c>
      <c r="E309" s="6">
        <v>41.368112764593803</v>
      </c>
      <c r="F309">
        <v>0.97736906514847799</v>
      </c>
      <c r="G309">
        <v>91.153177593174902</v>
      </c>
      <c r="H309">
        <v>80.047018310780004</v>
      </c>
      <c r="I309" t="str">
        <f t="shared" si="5"/>
        <v>tatemono</v>
      </c>
      <c r="J309" t="s">
        <v>980</v>
      </c>
    </row>
    <row r="310" spans="1:10" x14ac:dyDescent="0.2">
      <c r="A310" s="3" t="s">
        <v>951</v>
      </c>
      <c r="B310">
        <v>235.158203125</v>
      </c>
      <c r="C310">
        <v>25.833672477803301</v>
      </c>
      <c r="D310">
        <v>33.5346574824908</v>
      </c>
      <c r="E310" s="6">
        <v>41.598965490580603</v>
      </c>
      <c r="F310">
        <v>0.978143117083353</v>
      </c>
      <c r="G310">
        <v>91.6082159291377</v>
      </c>
      <c r="H310">
        <v>80.480643081983104</v>
      </c>
      <c r="I310" t="str">
        <f t="shared" si="5"/>
        <v>tatemono</v>
      </c>
      <c r="J310" t="s">
        <v>980</v>
      </c>
    </row>
    <row r="311" spans="1:10" x14ac:dyDescent="0.2">
      <c r="A311" s="3" t="s">
        <v>952</v>
      </c>
      <c r="B311">
        <v>242.5458984375</v>
      </c>
      <c r="C311">
        <v>25.046805735061401</v>
      </c>
      <c r="D311">
        <v>33.785322876928802</v>
      </c>
      <c r="E311" s="6">
        <v>41.849778089646897</v>
      </c>
      <c r="F311">
        <v>0.97886251406732905</v>
      </c>
      <c r="G311">
        <v>92.102442835150896</v>
      </c>
      <c r="H311">
        <v>80.886812499970105</v>
      </c>
      <c r="I311" t="str">
        <f t="shared" si="5"/>
        <v>tatemono</v>
      </c>
      <c r="J311" t="s">
        <v>980</v>
      </c>
    </row>
    <row r="312" spans="1:10" x14ac:dyDescent="0.2">
      <c r="A312" s="3" t="s">
        <v>953</v>
      </c>
      <c r="B312">
        <v>253.9814453125</v>
      </c>
      <c r="C312">
        <v>23.919070121540901</v>
      </c>
      <c r="D312">
        <v>34.0781463567751</v>
      </c>
      <c r="E312" s="6">
        <v>42.1417693656512</v>
      </c>
      <c r="F312">
        <v>0.97952434445947301</v>
      </c>
      <c r="G312">
        <v>92.677637068081694</v>
      </c>
      <c r="H312">
        <v>81.263191585050706</v>
      </c>
      <c r="I312" t="str">
        <f t="shared" si="5"/>
        <v>tatemono</v>
      </c>
      <c r="J312" t="s">
        <v>980</v>
      </c>
    </row>
    <row r="313" spans="1:10" x14ac:dyDescent="0.2">
      <c r="A313" s="3" t="s">
        <v>954</v>
      </c>
      <c r="B313">
        <v>261.6962890625</v>
      </c>
      <c r="C313">
        <v>23.213932538986601</v>
      </c>
      <c r="D313">
        <v>34.312573217636903</v>
      </c>
      <c r="E313" s="6">
        <v>42.372309821387397</v>
      </c>
      <c r="F313">
        <v>0.97966159410762499</v>
      </c>
      <c r="G313">
        <v>93.131664110913604</v>
      </c>
      <c r="H313">
        <v>81.341571755234995</v>
      </c>
      <c r="I313" t="str">
        <f t="shared" si="5"/>
        <v>tatemono</v>
      </c>
      <c r="J313" t="s">
        <v>980</v>
      </c>
    </row>
    <row r="314" spans="1:10" x14ac:dyDescent="0.2">
      <c r="A314" s="3" t="s">
        <v>955</v>
      </c>
      <c r="B314">
        <v>277.4423828125</v>
      </c>
      <c r="C314">
        <v>21.896438238513799</v>
      </c>
      <c r="D314">
        <v>34.649706322361403</v>
      </c>
      <c r="E314" s="6">
        <v>42.710295515818203</v>
      </c>
      <c r="F314">
        <v>0.980637964404102</v>
      </c>
      <c r="G314">
        <v>93.797138136048801</v>
      </c>
      <c r="H314">
        <v>81.902418257104699</v>
      </c>
      <c r="I314" t="str">
        <f t="shared" si="5"/>
        <v>tatemono</v>
      </c>
      <c r="J314" t="s">
        <v>980</v>
      </c>
    </row>
    <row r="315" spans="1:10" x14ac:dyDescent="0.2">
      <c r="A315" s="3" t="s">
        <v>956</v>
      </c>
      <c r="B315">
        <v>287.1142578125</v>
      </c>
      <c r="C315">
        <v>21.1588238295267</v>
      </c>
      <c r="D315">
        <v>34.961058484902701</v>
      </c>
      <c r="E315" s="6">
        <v>43.022032827655998</v>
      </c>
      <c r="F315">
        <v>0.98143280828747903</v>
      </c>
      <c r="G315">
        <v>94.410791415705006</v>
      </c>
      <c r="H315">
        <v>82.363246903665001</v>
      </c>
      <c r="I315" t="str">
        <f t="shared" si="5"/>
        <v>tatemono</v>
      </c>
      <c r="J315" t="s">
        <v>980</v>
      </c>
    </row>
    <row r="316" spans="1:10" x14ac:dyDescent="0.2">
      <c r="A316" s="3" t="s">
        <v>957</v>
      </c>
      <c r="B316">
        <v>307.8701171875</v>
      </c>
      <c r="C316">
        <v>19.732347054326802</v>
      </c>
      <c r="D316">
        <v>35.416523197079599</v>
      </c>
      <c r="E316" s="6">
        <v>43.481323865007397</v>
      </c>
      <c r="F316">
        <v>0.98317959862966198</v>
      </c>
      <c r="G316">
        <v>95.3147059866983</v>
      </c>
      <c r="H316">
        <v>83.389574607345097</v>
      </c>
      <c r="I316" t="str">
        <f t="shared" si="5"/>
        <v>tatemono</v>
      </c>
      <c r="J316" t="s">
        <v>980</v>
      </c>
    </row>
    <row r="317" spans="1:10" x14ac:dyDescent="0.2">
      <c r="A317" s="3" t="s">
        <v>958</v>
      </c>
      <c r="B317">
        <v>326.150390625</v>
      </c>
      <c r="C317">
        <v>18.626376587679399</v>
      </c>
      <c r="D317">
        <v>35.810026618362301</v>
      </c>
      <c r="E317" s="6">
        <v>43.875224296580299</v>
      </c>
      <c r="F317">
        <v>0.98399379135785003</v>
      </c>
      <c r="G317">
        <v>96.089777248838104</v>
      </c>
      <c r="H317">
        <v>83.874411927926104</v>
      </c>
      <c r="I317" t="str">
        <f t="shared" si="5"/>
        <v>tatemono</v>
      </c>
      <c r="J317" t="s">
        <v>980</v>
      </c>
    </row>
    <row r="318" spans="1:10" x14ac:dyDescent="0.2">
      <c r="A318" s="3" t="s">
        <v>959</v>
      </c>
      <c r="B318">
        <v>343.4384765625</v>
      </c>
      <c r="C318">
        <v>17.688757709401401</v>
      </c>
      <c r="D318">
        <v>36.250092782224698</v>
      </c>
      <c r="E318" s="6">
        <v>44.315343353205201</v>
      </c>
      <c r="F318">
        <v>0.98479634809407701</v>
      </c>
      <c r="G318">
        <v>96.955663678926001</v>
      </c>
      <c r="H318">
        <v>84.356387233735404</v>
      </c>
      <c r="I318" t="str">
        <f t="shared" si="5"/>
        <v>tatemono</v>
      </c>
      <c r="J318" t="s">
        <v>980</v>
      </c>
    </row>
    <row r="319" spans="1:10" x14ac:dyDescent="0.2">
      <c r="A319" s="3" t="s">
        <v>960</v>
      </c>
      <c r="B319">
        <v>377.8955078125</v>
      </c>
      <c r="C319">
        <v>16.0758724949285</v>
      </c>
      <c r="D319">
        <v>36.740584583484903</v>
      </c>
      <c r="E319" s="6">
        <v>44.805555034301001</v>
      </c>
      <c r="F319">
        <v>0.98570721784756399</v>
      </c>
      <c r="G319">
        <v>97.919977648021202</v>
      </c>
      <c r="H319">
        <v>84.908346010964607</v>
      </c>
      <c r="I319" t="str">
        <f t="shared" si="5"/>
        <v>tatemono</v>
      </c>
      <c r="J319" t="s">
        <v>980</v>
      </c>
    </row>
    <row r="320" spans="1:10" x14ac:dyDescent="0.2">
      <c r="A320" s="3" t="s">
        <v>961</v>
      </c>
      <c r="B320">
        <v>421.876953125</v>
      </c>
      <c r="C320">
        <v>14.399933333642</v>
      </c>
      <c r="D320">
        <v>37.325653689986602</v>
      </c>
      <c r="E320" s="6">
        <v>45.391215250573602</v>
      </c>
      <c r="F320">
        <v>0.98677838560540698</v>
      </c>
      <c r="G320">
        <v>99.071923048587706</v>
      </c>
      <c r="H320">
        <v>85.564221983791199</v>
      </c>
      <c r="I320" t="str">
        <f t="shared" si="5"/>
        <v>tatemono</v>
      </c>
      <c r="J320" t="s">
        <v>980</v>
      </c>
    </row>
    <row r="321" spans="1:10" x14ac:dyDescent="0.2">
      <c r="A321" s="3" t="s">
        <v>962</v>
      </c>
      <c r="B321">
        <v>475.6953125</v>
      </c>
      <c r="C321">
        <v>12.770779615365701</v>
      </c>
      <c r="D321">
        <v>37.9630930030836</v>
      </c>
      <c r="E321" s="6">
        <v>46.028959565931402</v>
      </c>
      <c r="F321">
        <v>0.98782937134659599</v>
      </c>
      <c r="G321">
        <v>100.32619794275401</v>
      </c>
      <c r="H321">
        <v>86.214941821280505</v>
      </c>
      <c r="I321" t="str">
        <f t="shared" si="5"/>
        <v>tatemono</v>
      </c>
      <c r="J321" t="s">
        <v>980</v>
      </c>
    </row>
    <row r="322" spans="1:10" x14ac:dyDescent="0.2">
      <c r="A322" s="3" t="s">
        <v>963</v>
      </c>
      <c r="B322">
        <v>203.9189453125</v>
      </c>
      <c r="C322">
        <v>29.7912486291562</v>
      </c>
      <c r="D322">
        <v>36.810270717156598</v>
      </c>
      <c r="E322" s="6">
        <v>41.4572472208392</v>
      </c>
      <c r="F322">
        <v>0.97906930525350899</v>
      </c>
      <c r="G322">
        <v>91.328889676079697</v>
      </c>
      <c r="H322">
        <v>81.004133393572602</v>
      </c>
      <c r="I322" t="str">
        <f t="shared" si="5"/>
        <v>wedding</v>
      </c>
      <c r="J322" t="s">
        <v>980</v>
      </c>
    </row>
    <row r="323" spans="1:10" x14ac:dyDescent="0.2">
      <c r="A323" s="3" t="s">
        <v>964</v>
      </c>
      <c r="B323">
        <v>210.50390625</v>
      </c>
      <c r="C323">
        <v>28.859321939542401</v>
      </c>
      <c r="D323">
        <v>36.996996686565303</v>
      </c>
      <c r="E323" s="6">
        <v>41.639898391063603</v>
      </c>
      <c r="F323">
        <v>0.97962663616798595</v>
      </c>
      <c r="G323">
        <v>91.688884759568495</v>
      </c>
      <c r="H323">
        <v>81.321597372321307</v>
      </c>
      <c r="I323" t="str">
        <f t="shared" si="5"/>
        <v>wedding</v>
      </c>
      <c r="J323" t="s">
        <v>980</v>
      </c>
    </row>
    <row r="324" spans="1:10" x14ac:dyDescent="0.2">
      <c r="A324" s="3" t="s">
        <v>965</v>
      </c>
      <c r="B324">
        <v>216.9423828125</v>
      </c>
      <c r="C324">
        <v>28.002826931473901</v>
      </c>
      <c r="D324">
        <v>37.129316126811901</v>
      </c>
      <c r="E324" s="6">
        <v>41.772606706232096</v>
      </c>
      <c r="F324">
        <v>0.98017331488850801</v>
      </c>
      <c r="G324">
        <v>91.950392292587793</v>
      </c>
      <c r="H324">
        <v>81.6347990236345</v>
      </c>
      <c r="I324" t="str">
        <f t="shared" si="5"/>
        <v>wedding</v>
      </c>
      <c r="J324" t="s">
        <v>980</v>
      </c>
    </row>
    <row r="325" spans="1:10" x14ac:dyDescent="0.2">
      <c r="A325" s="3" t="s">
        <v>966</v>
      </c>
      <c r="B325">
        <v>226.5634765625</v>
      </c>
      <c r="C325">
        <v>26.813677527252</v>
      </c>
      <c r="D325">
        <v>37.297205608016398</v>
      </c>
      <c r="E325" s="6">
        <v>41.941237582564597</v>
      </c>
      <c r="F325">
        <v>0.98085749397327004</v>
      </c>
      <c r="G325">
        <v>92.282628075143805</v>
      </c>
      <c r="H325">
        <v>82.029312160277001</v>
      </c>
      <c r="I325" t="str">
        <f t="shared" si="5"/>
        <v>wedding</v>
      </c>
      <c r="J325" t="s">
        <v>980</v>
      </c>
    </row>
    <row r="326" spans="1:10" x14ac:dyDescent="0.2">
      <c r="A326" s="3" t="s">
        <v>967</v>
      </c>
      <c r="B326">
        <v>233.283203125</v>
      </c>
      <c r="C326">
        <v>26.041309098215901</v>
      </c>
      <c r="D326">
        <v>37.469943592138101</v>
      </c>
      <c r="E326" s="6">
        <v>42.118039796889697</v>
      </c>
      <c r="F326">
        <v>0.98178235620772003</v>
      </c>
      <c r="G326">
        <v>92.630898515251104</v>
      </c>
      <c r="H326">
        <v>82.567123244331697</v>
      </c>
      <c r="I326" t="str">
        <f t="shared" si="5"/>
        <v>wedding</v>
      </c>
      <c r="J326" t="s">
        <v>980</v>
      </c>
    </row>
    <row r="327" spans="1:10" x14ac:dyDescent="0.2">
      <c r="A327" s="3" t="s">
        <v>968</v>
      </c>
      <c r="B327">
        <v>241.8349609375</v>
      </c>
      <c r="C327">
        <v>25.1204374109086</v>
      </c>
      <c r="D327">
        <v>37.6616443840879</v>
      </c>
      <c r="E327" s="6">
        <v>42.309965296220703</v>
      </c>
      <c r="F327">
        <v>0.98249972908421301</v>
      </c>
      <c r="G327">
        <v>93.008891789287205</v>
      </c>
      <c r="H327">
        <v>82.987882260927606</v>
      </c>
      <c r="I327" t="str">
        <f t="shared" si="5"/>
        <v>wedding</v>
      </c>
      <c r="J327" t="s">
        <v>980</v>
      </c>
    </row>
    <row r="328" spans="1:10" x14ac:dyDescent="0.2">
      <c r="A328" s="3" t="s">
        <v>969</v>
      </c>
      <c r="B328">
        <v>254.19921875</v>
      </c>
      <c r="C328">
        <v>23.898578563196299</v>
      </c>
      <c r="D328">
        <v>37.880846921635197</v>
      </c>
      <c r="E328" s="6">
        <v>42.528211776426403</v>
      </c>
      <c r="F328">
        <v>0.98326909633608806</v>
      </c>
      <c r="G328">
        <v>93.438647308029203</v>
      </c>
      <c r="H328">
        <v>83.442666712791606</v>
      </c>
      <c r="I328" t="str">
        <f t="shared" si="5"/>
        <v>wedding</v>
      </c>
      <c r="J328" t="s">
        <v>980</v>
      </c>
    </row>
    <row r="329" spans="1:10" x14ac:dyDescent="0.2">
      <c r="A329" s="3" t="s">
        <v>970</v>
      </c>
      <c r="B329">
        <v>263.0927734375</v>
      </c>
      <c r="C329">
        <v>23.0907140497463</v>
      </c>
      <c r="D329">
        <v>38.052297066702401</v>
      </c>
      <c r="E329" s="6">
        <v>42.6961805983155</v>
      </c>
      <c r="F329">
        <v>0.98379430319960504</v>
      </c>
      <c r="G329">
        <v>93.769350027041398</v>
      </c>
      <c r="H329">
        <v>83.755237278215205</v>
      </c>
      <c r="I329" t="str">
        <f t="shared" si="5"/>
        <v>wedding</v>
      </c>
      <c r="J329" t="s">
        <v>980</v>
      </c>
    </row>
    <row r="330" spans="1:10" x14ac:dyDescent="0.2">
      <c r="A330" s="3" t="s">
        <v>971</v>
      </c>
      <c r="B330">
        <v>280.1787109375</v>
      </c>
      <c r="C330">
        <v>21.682589586027301</v>
      </c>
      <c r="D330">
        <v>38.305897207871801</v>
      </c>
      <c r="E330" s="6">
        <v>42.950418133765503</v>
      </c>
      <c r="F330">
        <v>0.98464262163279603</v>
      </c>
      <c r="G330">
        <v>94.269828832051701</v>
      </c>
      <c r="H330">
        <v>84.263752569561603</v>
      </c>
      <c r="I330" t="str">
        <f t="shared" si="5"/>
        <v>wedding</v>
      </c>
      <c r="J330" t="s">
        <v>980</v>
      </c>
    </row>
    <row r="331" spans="1:10" x14ac:dyDescent="0.2">
      <c r="A331" s="3" t="s">
        <v>972</v>
      </c>
      <c r="B331">
        <v>291.0986328125</v>
      </c>
      <c r="C331">
        <v>20.869215156750599</v>
      </c>
      <c r="D331">
        <v>38.5307639261788</v>
      </c>
      <c r="E331" s="6">
        <v>43.175704852398397</v>
      </c>
      <c r="F331">
        <v>0.98541056835150898</v>
      </c>
      <c r="G331">
        <v>94.7132518455157</v>
      </c>
      <c r="H331">
        <v>84.728006447386406</v>
      </c>
      <c r="I331" t="str">
        <f t="shared" si="5"/>
        <v>wedding</v>
      </c>
      <c r="J331" t="s">
        <v>980</v>
      </c>
    </row>
    <row r="332" spans="1:10" x14ac:dyDescent="0.2">
      <c r="A332" s="3" t="s">
        <v>973</v>
      </c>
      <c r="B332">
        <v>314.162109375</v>
      </c>
      <c r="C332">
        <v>19.3371505306153</v>
      </c>
      <c r="D332">
        <v>38.853245498266702</v>
      </c>
      <c r="E332" s="6">
        <v>43.501028180937197</v>
      </c>
      <c r="F332">
        <v>0.98634444234310903</v>
      </c>
      <c r="G332">
        <v>95.353480839288196</v>
      </c>
      <c r="H332">
        <v>85.297630421928901</v>
      </c>
      <c r="I332" t="str">
        <f t="shared" si="5"/>
        <v>wedding</v>
      </c>
      <c r="J332" t="s">
        <v>980</v>
      </c>
    </row>
    <row r="333" spans="1:10" x14ac:dyDescent="0.2">
      <c r="A333" s="3" t="s">
        <v>974</v>
      </c>
      <c r="B333">
        <v>334.169921875</v>
      </c>
      <c r="C333">
        <v>18.1793740319705</v>
      </c>
      <c r="D333">
        <v>39.1599199576643</v>
      </c>
      <c r="E333" s="6">
        <v>43.807818984001202</v>
      </c>
      <c r="F333">
        <v>0.98719809636058997</v>
      </c>
      <c r="G333">
        <v>95.957153397700793</v>
      </c>
      <c r="H333">
        <v>85.823226700137894</v>
      </c>
      <c r="I333" t="str">
        <f t="shared" si="5"/>
        <v>wedding</v>
      </c>
      <c r="J333" t="s">
        <v>980</v>
      </c>
    </row>
    <row r="334" spans="1:10" x14ac:dyDescent="0.2">
      <c r="A334" s="3" t="s">
        <v>975</v>
      </c>
      <c r="B334">
        <v>350.8525390625</v>
      </c>
      <c r="C334">
        <v>17.314966613132601</v>
      </c>
      <c r="D334">
        <v>39.472190871031501</v>
      </c>
      <c r="E334" s="6">
        <v>44.120094527741799</v>
      </c>
      <c r="F334">
        <v>0.98804200793073804</v>
      </c>
      <c r="G334">
        <v>96.571547595996407</v>
      </c>
      <c r="H334">
        <v>86.347470924677495</v>
      </c>
      <c r="I334" t="str">
        <f t="shared" si="5"/>
        <v>wedding</v>
      </c>
      <c r="J334" t="s">
        <v>980</v>
      </c>
    </row>
    <row r="335" spans="1:10" x14ac:dyDescent="0.2">
      <c r="A335" s="3" t="s">
        <v>976</v>
      </c>
      <c r="B335">
        <v>391.384765625</v>
      </c>
      <c r="C335">
        <v>15.5218100793956</v>
      </c>
      <c r="D335">
        <v>39.871470810750999</v>
      </c>
      <c r="E335" s="6">
        <v>44.519578026719401</v>
      </c>
      <c r="F335">
        <v>0.98905804001816899</v>
      </c>
      <c r="G335">
        <v>97.3574354646518</v>
      </c>
      <c r="H335">
        <v>86.984826073094197</v>
      </c>
      <c r="I335" t="str">
        <f t="shared" si="5"/>
        <v>wedding</v>
      </c>
      <c r="J335" t="s">
        <v>980</v>
      </c>
    </row>
    <row r="336" spans="1:10" x14ac:dyDescent="0.2">
      <c r="A336" s="3" t="s">
        <v>977</v>
      </c>
      <c r="B336">
        <v>437.646484375</v>
      </c>
      <c r="C336">
        <v>13.881066607162801</v>
      </c>
      <c r="D336">
        <v>40.337691571927799</v>
      </c>
      <c r="E336" s="6">
        <v>44.986130593483402</v>
      </c>
      <c r="F336">
        <v>0.99006825376567498</v>
      </c>
      <c r="G336">
        <v>98.2751680117006</v>
      </c>
      <c r="H336">
        <v>87.625302905610596</v>
      </c>
      <c r="I336" t="str">
        <f t="shared" si="5"/>
        <v>wedding</v>
      </c>
      <c r="J336" t="s">
        <v>980</v>
      </c>
    </row>
    <row r="337" spans="1:10" x14ac:dyDescent="0.2">
      <c r="A337" s="3" t="s">
        <v>978</v>
      </c>
      <c r="B337">
        <v>492.783203125</v>
      </c>
      <c r="C337">
        <v>12.327936426150901</v>
      </c>
      <c r="D337">
        <v>40.836120742267603</v>
      </c>
      <c r="E337" s="6">
        <v>45.4847107922375</v>
      </c>
      <c r="F337">
        <v>0.99105587547282203</v>
      </c>
      <c r="G337">
        <v>99.255810707826896</v>
      </c>
      <c r="H337">
        <v>88.258053521766698</v>
      </c>
      <c r="I337" t="str">
        <f t="shared" si="5"/>
        <v>wedding</v>
      </c>
      <c r="J337" t="s">
        <v>980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337"/>
  <sheetViews>
    <sheetView workbookViewId="0">
      <pane ySplit="1" topLeftCell="A2" activePane="bottomLeft" state="frozen"/>
      <selection activeCell="D31" sqref="D31"/>
      <selection pane="bottomLeft"/>
    </sheetView>
  </sheetViews>
  <sheetFormatPr defaultRowHeight="14.25" x14ac:dyDescent="0.2"/>
  <cols>
    <col min="1" max="1" width="26.625" bestFit="1" customWidth="1"/>
    <col min="2" max="2" width="15.375" customWidth="1"/>
    <col min="3" max="5" width="17.625" bestFit="1" customWidth="1"/>
    <col min="6" max="6" width="18.75" bestFit="1" customWidth="1"/>
    <col min="7" max="8" width="17.625" bestFit="1" customWidth="1"/>
    <col min="10" max="10" width="11" customWidth="1"/>
    <col min="11" max="11" width="21.5" customWidth="1"/>
    <col min="12" max="74" width="12.75" customWidth="1"/>
    <col min="75" max="75" width="11.625" customWidth="1"/>
    <col min="76" max="83" width="12.75" customWidth="1"/>
    <col min="84" max="84" width="11.625" customWidth="1"/>
    <col min="85" max="190" width="12.75" customWidth="1"/>
    <col min="191" max="191" width="11.625" customWidth="1"/>
    <col min="192" max="347" width="12.75" customWidth="1"/>
    <col min="348" max="348" width="5.25" customWidth="1"/>
    <col min="349" max="349" width="22.5" bestFit="1" customWidth="1"/>
    <col min="350" max="350" width="14.5" bestFit="1" customWidth="1"/>
    <col min="351" max="351" width="22.5" bestFit="1" customWidth="1"/>
    <col min="352" max="352" width="14.5" bestFit="1" customWidth="1"/>
    <col min="353" max="353" width="22.5" bestFit="1" customWidth="1"/>
    <col min="354" max="354" width="14.5" bestFit="1" customWidth="1"/>
    <col min="355" max="355" width="22.5" bestFit="1" customWidth="1"/>
    <col min="356" max="356" width="14.5" bestFit="1" customWidth="1"/>
    <col min="357" max="357" width="22.5" bestFit="1" customWidth="1"/>
    <col min="358" max="358" width="14.5" bestFit="1" customWidth="1"/>
    <col min="359" max="359" width="22.5" bestFit="1" customWidth="1"/>
    <col min="360" max="360" width="14.5" bestFit="1" customWidth="1"/>
    <col min="361" max="361" width="22.5" bestFit="1" customWidth="1"/>
    <col min="362" max="362" width="14.5" bestFit="1" customWidth="1"/>
    <col min="363" max="363" width="22.5" bestFit="1" customWidth="1"/>
    <col min="364" max="364" width="14.5" bestFit="1" customWidth="1"/>
    <col min="365" max="365" width="22.5" bestFit="1" customWidth="1"/>
    <col min="366" max="366" width="14.5" bestFit="1" customWidth="1"/>
    <col min="367" max="367" width="22.5" bestFit="1" customWidth="1"/>
    <col min="368" max="368" width="12.75" customWidth="1"/>
    <col min="369" max="369" width="22.5" bestFit="1" customWidth="1"/>
    <col min="370" max="370" width="14.5" bestFit="1" customWidth="1"/>
    <col min="371" max="371" width="22.5" bestFit="1" customWidth="1"/>
    <col min="372" max="372" width="14.5" bestFit="1" customWidth="1"/>
    <col min="373" max="373" width="22.5" bestFit="1" customWidth="1"/>
    <col min="374" max="374" width="14.5" bestFit="1" customWidth="1"/>
    <col min="375" max="375" width="22.5" bestFit="1" customWidth="1"/>
    <col min="376" max="376" width="14.5" bestFit="1" customWidth="1"/>
    <col min="377" max="377" width="22.5" bestFit="1" customWidth="1"/>
    <col min="378" max="378" width="14.5" bestFit="1" customWidth="1"/>
    <col min="379" max="379" width="21.375" bestFit="1" customWidth="1"/>
    <col min="380" max="380" width="14.5" bestFit="1" customWidth="1"/>
    <col min="381" max="381" width="22.5" bestFit="1" customWidth="1"/>
    <col min="382" max="382" width="14.5" bestFit="1" customWidth="1"/>
    <col min="383" max="383" width="21.375" customWidth="1"/>
    <col min="384" max="384" width="14.5" bestFit="1" customWidth="1"/>
    <col min="385" max="385" width="22.5" bestFit="1" customWidth="1"/>
    <col min="386" max="386" width="14.5" bestFit="1" customWidth="1"/>
    <col min="387" max="387" width="22.5" bestFit="1" customWidth="1"/>
    <col min="388" max="388" width="14.5" bestFit="1" customWidth="1"/>
    <col min="389" max="389" width="22.5" bestFit="1" customWidth="1"/>
    <col min="390" max="390" width="14.5" bestFit="1" customWidth="1"/>
    <col min="391" max="391" width="22.5" bestFit="1" customWidth="1"/>
    <col min="392" max="392" width="14.5" bestFit="1" customWidth="1"/>
    <col min="393" max="393" width="22.5" bestFit="1" customWidth="1"/>
    <col min="394" max="394" width="14.5" bestFit="1" customWidth="1"/>
    <col min="395" max="395" width="22.5" bestFit="1" customWidth="1"/>
    <col min="396" max="396" width="14.5" bestFit="1" customWidth="1"/>
    <col min="397" max="397" width="22.5" bestFit="1" customWidth="1"/>
    <col min="398" max="398" width="14.5" bestFit="1" customWidth="1"/>
    <col min="399" max="399" width="22.5" bestFit="1" customWidth="1"/>
    <col min="400" max="400" width="14.5" bestFit="1" customWidth="1"/>
    <col min="401" max="401" width="21.375" customWidth="1"/>
    <col min="402" max="402" width="14.5" bestFit="1" customWidth="1"/>
    <col min="403" max="403" width="22.5" bestFit="1" customWidth="1"/>
    <col min="404" max="404" width="14.5" bestFit="1" customWidth="1"/>
    <col min="405" max="405" width="22.5" bestFit="1" customWidth="1"/>
    <col min="406" max="406" width="14.5" bestFit="1" customWidth="1"/>
    <col min="407" max="407" width="22.5" bestFit="1" customWidth="1"/>
    <col min="408" max="408" width="13.375" customWidth="1"/>
    <col min="409" max="409" width="22.5" bestFit="1" customWidth="1"/>
    <col min="410" max="410" width="14.5" bestFit="1" customWidth="1"/>
    <col min="411" max="411" width="22.5" bestFit="1" customWidth="1"/>
    <col min="412" max="412" width="14.5" bestFit="1" customWidth="1"/>
    <col min="413" max="413" width="22.5" bestFit="1" customWidth="1"/>
    <col min="414" max="414" width="14.5" bestFit="1" customWidth="1"/>
    <col min="415" max="415" width="22.5" bestFit="1" customWidth="1"/>
    <col min="416" max="416" width="14.5" bestFit="1" customWidth="1"/>
    <col min="417" max="417" width="22.5" bestFit="1" customWidth="1"/>
    <col min="418" max="418" width="14.5" bestFit="1" customWidth="1"/>
    <col min="419" max="419" width="22.5" bestFit="1" customWidth="1"/>
    <col min="420" max="420" width="14.5" bestFit="1" customWidth="1"/>
    <col min="421" max="421" width="22.5" bestFit="1" customWidth="1"/>
    <col min="422" max="422" width="14.5" bestFit="1" customWidth="1"/>
    <col min="423" max="423" width="21.375" customWidth="1"/>
    <col min="424" max="424" width="14.5" bestFit="1" customWidth="1"/>
    <col min="425" max="425" width="22.5" bestFit="1" customWidth="1"/>
    <col min="426" max="426" width="14.5" bestFit="1" customWidth="1"/>
    <col min="427" max="427" width="22.5" bestFit="1" customWidth="1"/>
    <col min="428" max="428" width="14.5" bestFit="1" customWidth="1"/>
    <col min="429" max="429" width="22.5" bestFit="1" customWidth="1"/>
    <col min="430" max="430" width="14.5" bestFit="1" customWidth="1"/>
    <col min="431" max="431" width="22.5" bestFit="1" customWidth="1"/>
    <col min="432" max="432" width="14.5" bestFit="1" customWidth="1"/>
    <col min="433" max="433" width="22.5" bestFit="1" customWidth="1"/>
    <col min="434" max="434" width="14.5" bestFit="1" customWidth="1"/>
    <col min="435" max="435" width="22.5" bestFit="1" customWidth="1"/>
    <col min="436" max="436" width="14.5" bestFit="1" customWidth="1"/>
    <col min="437" max="437" width="22.5" bestFit="1" customWidth="1"/>
    <col min="438" max="438" width="14.5" bestFit="1" customWidth="1"/>
    <col min="439" max="439" width="22.5" bestFit="1" customWidth="1"/>
    <col min="440" max="440" width="14.5" bestFit="1" customWidth="1"/>
    <col min="441" max="441" width="22.5" bestFit="1" customWidth="1"/>
    <col min="442" max="442" width="14.5" bestFit="1" customWidth="1"/>
    <col min="443" max="443" width="22.5" bestFit="1" customWidth="1"/>
    <col min="444" max="444" width="13.375" customWidth="1"/>
    <col min="445" max="445" width="22.5" bestFit="1" customWidth="1"/>
    <col min="446" max="446" width="14.5" bestFit="1" customWidth="1"/>
    <col min="447" max="447" width="22.5" bestFit="1" customWidth="1"/>
    <col min="448" max="448" width="14.5" bestFit="1" customWidth="1"/>
    <col min="449" max="449" width="22.5" bestFit="1" customWidth="1"/>
    <col min="450" max="450" width="14.5" bestFit="1" customWidth="1"/>
    <col min="451" max="451" width="22.5" bestFit="1" customWidth="1"/>
    <col min="452" max="452" width="14.5" bestFit="1" customWidth="1"/>
    <col min="453" max="453" width="22.5" bestFit="1" customWidth="1"/>
    <col min="454" max="454" width="14.5" bestFit="1" customWidth="1"/>
    <col min="455" max="455" width="22.5" bestFit="1" customWidth="1"/>
    <col min="456" max="456" width="14.5" bestFit="1" customWidth="1"/>
    <col min="457" max="457" width="22.5" bestFit="1" customWidth="1"/>
    <col min="458" max="458" width="12.75" customWidth="1"/>
    <col min="459" max="459" width="22.5" bestFit="1" customWidth="1"/>
    <col min="460" max="460" width="14.5" bestFit="1" customWidth="1"/>
    <col min="461" max="461" width="22.5" bestFit="1" customWidth="1"/>
    <col min="462" max="462" width="14.5" bestFit="1" customWidth="1"/>
    <col min="463" max="463" width="22.5" bestFit="1" customWidth="1"/>
    <col min="464" max="464" width="14.5" bestFit="1" customWidth="1"/>
    <col min="465" max="465" width="22.5" bestFit="1" customWidth="1"/>
    <col min="466" max="466" width="14.5" bestFit="1" customWidth="1"/>
    <col min="467" max="467" width="22.5" bestFit="1" customWidth="1"/>
    <col min="468" max="468" width="14.5" bestFit="1" customWidth="1"/>
    <col min="469" max="469" width="22.5" bestFit="1" customWidth="1"/>
    <col min="470" max="470" width="14.5" bestFit="1" customWidth="1"/>
    <col min="471" max="471" width="22.5" bestFit="1" customWidth="1"/>
    <col min="472" max="472" width="14.5" bestFit="1" customWidth="1"/>
    <col min="473" max="473" width="21.375" customWidth="1"/>
    <col min="474" max="474" width="14.5" bestFit="1" customWidth="1"/>
    <col min="475" max="475" width="21.375" customWidth="1"/>
    <col min="476" max="476" width="14.5" bestFit="1" customWidth="1"/>
    <col min="477" max="477" width="21.375" customWidth="1"/>
    <col min="478" max="478" width="14.5" bestFit="1" customWidth="1"/>
    <col min="479" max="479" width="22.5" bestFit="1" customWidth="1"/>
    <col min="480" max="480" width="14.5" bestFit="1" customWidth="1"/>
    <col min="481" max="481" width="22.5" bestFit="1" customWidth="1"/>
    <col min="482" max="482" width="14.5" bestFit="1" customWidth="1"/>
    <col min="483" max="483" width="22.5" bestFit="1" customWidth="1"/>
    <col min="484" max="484" width="14.5" bestFit="1" customWidth="1"/>
    <col min="485" max="485" width="22.5" bestFit="1" customWidth="1"/>
    <col min="486" max="486" width="14.5" bestFit="1" customWidth="1"/>
    <col min="487" max="487" width="22.5" bestFit="1" customWidth="1"/>
    <col min="488" max="488" width="14.5" bestFit="1" customWidth="1"/>
    <col min="489" max="489" width="21.375" customWidth="1"/>
    <col min="490" max="490" width="14.5" bestFit="1" customWidth="1"/>
    <col min="491" max="491" width="22.5" bestFit="1" customWidth="1"/>
    <col min="492" max="492" width="14.5" bestFit="1" customWidth="1"/>
    <col min="493" max="493" width="22.5" bestFit="1" customWidth="1"/>
    <col min="494" max="494" width="13.375" customWidth="1"/>
    <col min="495" max="495" width="22.5" bestFit="1" customWidth="1"/>
    <col min="496" max="496" width="14.5" bestFit="1" customWidth="1"/>
    <col min="497" max="497" width="22.5" bestFit="1" customWidth="1"/>
    <col min="498" max="498" width="14.5" bestFit="1" customWidth="1"/>
    <col min="499" max="499" width="22.5" bestFit="1" customWidth="1"/>
    <col min="500" max="500" width="14.5" bestFit="1" customWidth="1"/>
    <col min="501" max="501" width="22.5" bestFit="1" customWidth="1"/>
    <col min="502" max="502" width="14.5" bestFit="1" customWidth="1"/>
    <col min="503" max="503" width="22.5" bestFit="1" customWidth="1"/>
    <col min="504" max="504" width="13.375" customWidth="1"/>
    <col min="505" max="505" width="22.5" bestFit="1" customWidth="1"/>
    <col min="506" max="506" width="14.5" bestFit="1" customWidth="1"/>
    <col min="507" max="507" width="22.5" bestFit="1" customWidth="1"/>
    <col min="508" max="508" width="14.5" bestFit="1" customWidth="1"/>
    <col min="509" max="509" width="21.375" customWidth="1"/>
    <col min="510" max="510" width="14.5" bestFit="1" customWidth="1"/>
    <col min="511" max="511" width="22.5" bestFit="1" customWidth="1"/>
    <col min="512" max="512" width="13.375" bestFit="1" customWidth="1"/>
    <col min="513" max="513" width="22.5" bestFit="1" customWidth="1"/>
    <col min="514" max="514" width="14.5" bestFit="1" customWidth="1"/>
    <col min="515" max="515" width="22.5" bestFit="1" customWidth="1"/>
    <col min="516" max="516" width="14.5" bestFit="1" customWidth="1"/>
    <col min="517" max="517" width="22.5" bestFit="1" customWidth="1"/>
    <col min="518" max="518" width="14.5" bestFit="1" customWidth="1"/>
    <col min="519" max="519" width="22.5" bestFit="1" customWidth="1"/>
    <col min="520" max="520" width="13.375" customWidth="1"/>
    <col min="521" max="521" width="21.375" customWidth="1"/>
    <col min="522" max="522" width="14.5" bestFit="1" customWidth="1"/>
    <col min="523" max="523" width="22.5" bestFit="1" customWidth="1"/>
    <col min="524" max="524" width="13.375" customWidth="1"/>
    <col min="525" max="525" width="21.375" customWidth="1"/>
    <col min="526" max="526" width="14.5" bestFit="1" customWidth="1"/>
    <col min="527" max="527" width="22.5" bestFit="1" customWidth="1"/>
    <col min="528" max="528" width="14.5" bestFit="1" customWidth="1"/>
    <col min="529" max="529" width="21.375" customWidth="1"/>
    <col min="530" max="530" width="14.5" bestFit="1" customWidth="1"/>
    <col min="531" max="531" width="22.5" bestFit="1" customWidth="1"/>
    <col min="532" max="532" width="14.5" bestFit="1" customWidth="1"/>
    <col min="533" max="533" width="22.5" bestFit="1" customWidth="1"/>
    <col min="534" max="534" width="13.375" customWidth="1"/>
    <col min="535" max="535" width="22.5" bestFit="1" customWidth="1"/>
    <col min="536" max="536" width="13.375" customWidth="1"/>
    <col min="537" max="537" width="22.5" bestFit="1" customWidth="1"/>
    <col min="538" max="538" width="14.5" bestFit="1" customWidth="1"/>
    <col min="539" max="539" width="22.5" bestFit="1" customWidth="1"/>
    <col min="540" max="540" width="14.5" bestFit="1" customWidth="1"/>
    <col min="541" max="541" width="22.5" bestFit="1" customWidth="1"/>
    <col min="542" max="542" width="14.5" bestFit="1" customWidth="1"/>
    <col min="543" max="543" width="21.375" customWidth="1"/>
    <col min="544" max="544" width="14.5" bestFit="1" customWidth="1"/>
    <col min="545" max="545" width="22.5" bestFit="1" customWidth="1"/>
    <col min="546" max="546" width="14.5" bestFit="1" customWidth="1"/>
    <col min="547" max="547" width="22.5" bestFit="1" customWidth="1"/>
    <col min="548" max="548" width="14.5" bestFit="1" customWidth="1"/>
    <col min="549" max="549" width="22.5" bestFit="1" customWidth="1"/>
    <col min="550" max="550" width="13.375" customWidth="1"/>
    <col min="551" max="551" width="22.5" bestFit="1" customWidth="1"/>
    <col min="552" max="552" width="14.5" bestFit="1" customWidth="1"/>
    <col min="553" max="553" width="22.5" bestFit="1" customWidth="1"/>
    <col min="554" max="554" width="14.5" bestFit="1" customWidth="1"/>
    <col min="555" max="555" width="22.5" bestFit="1" customWidth="1"/>
    <col min="556" max="556" width="13.375" customWidth="1"/>
    <col min="557" max="557" width="21.375" bestFit="1" customWidth="1"/>
    <col min="558" max="558" width="14.5" bestFit="1" customWidth="1"/>
    <col min="559" max="559" width="22.5" bestFit="1" customWidth="1"/>
    <col min="560" max="560" width="14.5" bestFit="1" customWidth="1"/>
    <col min="561" max="561" width="22.5" bestFit="1" customWidth="1"/>
    <col min="562" max="562" width="14.5" bestFit="1" customWidth="1"/>
    <col min="563" max="563" width="22.5" bestFit="1" customWidth="1"/>
    <col min="564" max="564" width="14.5" bestFit="1" customWidth="1"/>
    <col min="565" max="565" width="22.5" bestFit="1" customWidth="1"/>
    <col min="566" max="566" width="14.5" bestFit="1" customWidth="1"/>
    <col min="567" max="567" width="21.375" customWidth="1"/>
    <col min="568" max="568" width="14.5" bestFit="1" customWidth="1"/>
    <col min="569" max="569" width="22.5" bestFit="1" customWidth="1"/>
    <col min="570" max="570" width="14.5" bestFit="1" customWidth="1"/>
    <col min="571" max="571" width="22.5" bestFit="1" customWidth="1"/>
    <col min="572" max="572" width="14.5" bestFit="1" customWidth="1"/>
    <col min="573" max="573" width="22.5" bestFit="1" customWidth="1"/>
    <col min="574" max="574" width="14.5" bestFit="1" customWidth="1"/>
    <col min="575" max="575" width="22.5" bestFit="1" customWidth="1"/>
    <col min="576" max="576" width="14.5" bestFit="1" customWidth="1"/>
    <col min="577" max="577" width="22.5" bestFit="1" customWidth="1"/>
    <col min="578" max="578" width="13.375" customWidth="1"/>
    <col min="579" max="579" width="22.5" bestFit="1" customWidth="1"/>
    <col min="580" max="580" width="13.375" customWidth="1"/>
    <col min="581" max="581" width="22.5" bestFit="1" customWidth="1"/>
    <col min="582" max="582" width="14.5" bestFit="1" customWidth="1"/>
    <col min="583" max="583" width="22.5" bestFit="1" customWidth="1"/>
    <col min="584" max="584" width="13.375" customWidth="1"/>
    <col min="585" max="585" width="22.5" bestFit="1" customWidth="1"/>
    <col min="586" max="586" width="14.5" bestFit="1" customWidth="1"/>
    <col min="587" max="587" width="21.375" customWidth="1"/>
    <col min="588" max="588" width="14.5" bestFit="1" customWidth="1"/>
    <col min="589" max="589" width="22.5" bestFit="1" customWidth="1"/>
    <col min="590" max="590" width="14.5" bestFit="1" customWidth="1"/>
    <col min="591" max="591" width="22.5" bestFit="1" customWidth="1"/>
    <col min="592" max="592" width="14.5" bestFit="1" customWidth="1"/>
    <col min="593" max="593" width="22.5" bestFit="1" customWidth="1"/>
    <col min="594" max="594" width="13.375" customWidth="1"/>
    <col min="595" max="595" width="22.5" bestFit="1" customWidth="1"/>
    <col min="596" max="596" width="14.5" bestFit="1" customWidth="1"/>
    <col min="597" max="597" width="22.5" bestFit="1" customWidth="1"/>
    <col min="598" max="598" width="14.5" bestFit="1" customWidth="1"/>
    <col min="599" max="599" width="21.375" customWidth="1"/>
    <col min="600" max="600" width="14.5" bestFit="1" customWidth="1"/>
    <col min="601" max="601" width="22.5" bestFit="1" customWidth="1"/>
    <col min="602" max="602" width="14.5" bestFit="1" customWidth="1"/>
    <col min="603" max="603" width="22.5" bestFit="1" customWidth="1"/>
    <col min="604" max="604" width="14.5" bestFit="1" customWidth="1"/>
    <col min="605" max="605" width="22.5" bestFit="1" customWidth="1"/>
    <col min="606" max="606" width="14.5" bestFit="1" customWidth="1"/>
    <col min="607" max="607" width="21.375" customWidth="1"/>
    <col min="608" max="608" width="14.5" bestFit="1" customWidth="1"/>
    <col min="609" max="609" width="22.5" bestFit="1" customWidth="1"/>
    <col min="610" max="610" width="14.5" bestFit="1" customWidth="1"/>
    <col min="611" max="611" width="22.5" bestFit="1" customWidth="1"/>
    <col min="612" max="612" width="14.5" bestFit="1" customWidth="1"/>
    <col min="613" max="613" width="22.5" bestFit="1" customWidth="1"/>
    <col min="614" max="614" width="14.5" bestFit="1" customWidth="1"/>
    <col min="615" max="615" width="21.375" customWidth="1"/>
    <col min="616" max="616" width="14.5" bestFit="1" customWidth="1"/>
    <col min="617" max="617" width="22.5" bestFit="1" customWidth="1"/>
    <col min="618" max="618" width="14.5" bestFit="1" customWidth="1"/>
    <col min="619" max="619" width="21.375" customWidth="1"/>
    <col min="620" max="620" width="14.5" bestFit="1" customWidth="1"/>
    <col min="621" max="621" width="20.25" customWidth="1"/>
    <col min="622" max="622" width="14.5" bestFit="1" customWidth="1"/>
    <col min="623" max="623" width="22.5" bestFit="1" customWidth="1"/>
    <col min="624" max="624" width="14.5" bestFit="1" customWidth="1"/>
    <col min="625" max="625" width="22.5" bestFit="1" customWidth="1"/>
    <col min="626" max="626" width="14.5" bestFit="1" customWidth="1"/>
    <col min="627" max="627" width="22.5" bestFit="1" customWidth="1"/>
    <col min="628" max="628" width="14.5" bestFit="1" customWidth="1"/>
    <col min="629" max="629" width="22.5" bestFit="1" customWidth="1"/>
    <col min="630" max="630" width="14.5" bestFit="1" customWidth="1"/>
    <col min="631" max="631" width="22.5" bestFit="1" customWidth="1"/>
    <col min="632" max="632" width="14.5" bestFit="1" customWidth="1"/>
    <col min="633" max="633" width="22.5" bestFit="1" customWidth="1"/>
    <col min="634" max="634" width="14.5" bestFit="1" customWidth="1"/>
    <col min="635" max="635" width="22.5" bestFit="1" customWidth="1"/>
    <col min="636" max="636" width="14.5" bestFit="1" customWidth="1"/>
    <col min="637" max="637" width="21.375" customWidth="1"/>
    <col min="638" max="638" width="14.5" bestFit="1" customWidth="1"/>
    <col min="639" max="639" width="22.5" bestFit="1" customWidth="1"/>
    <col min="640" max="640" width="14.5" bestFit="1" customWidth="1"/>
    <col min="641" max="641" width="22.5" bestFit="1" customWidth="1"/>
    <col min="642" max="642" width="14.5" bestFit="1" customWidth="1"/>
    <col min="643" max="643" width="22.5" bestFit="1" customWidth="1"/>
    <col min="644" max="644" width="14.5" bestFit="1" customWidth="1"/>
    <col min="645" max="645" width="22.5" bestFit="1" customWidth="1"/>
    <col min="646" max="646" width="14.5" bestFit="1" customWidth="1"/>
    <col min="647" max="647" width="22.5" bestFit="1" customWidth="1"/>
    <col min="648" max="648" width="14.5" bestFit="1" customWidth="1"/>
    <col min="649" max="649" width="22.5" bestFit="1" customWidth="1"/>
    <col min="650" max="650" width="14.5" bestFit="1" customWidth="1"/>
    <col min="651" max="651" width="22.5" bestFit="1" customWidth="1"/>
    <col min="652" max="652" width="14.5" bestFit="1" customWidth="1"/>
    <col min="653" max="653" width="22.5" bestFit="1" customWidth="1"/>
    <col min="654" max="654" width="14.5" bestFit="1" customWidth="1"/>
    <col min="655" max="655" width="22.5" bestFit="1" customWidth="1"/>
    <col min="656" max="656" width="14.5" bestFit="1" customWidth="1"/>
    <col min="657" max="657" width="22.5" bestFit="1" customWidth="1"/>
    <col min="658" max="658" width="14.5" bestFit="1" customWidth="1"/>
    <col min="659" max="659" width="21.375" customWidth="1"/>
    <col min="660" max="660" width="12.75" customWidth="1"/>
    <col min="661" max="661" width="22.5" bestFit="1" customWidth="1"/>
    <col min="662" max="662" width="14.5" bestFit="1" customWidth="1"/>
    <col min="663" max="663" width="22.5" bestFit="1" customWidth="1"/>
    <col min="664" max="664" width="14.5" bestFit="1" customWidth="1"/>
    <col min="665" max="665" width="22.5" bestFit="1" customWidth="1"/>
    <col min="666" max="666" width="14.5" bestFit="1" customWidth="1"/>
    <col min="667" max="667" width="22.5" bestFit="1" customWidth="1"/>
    <col min="668" max="668" width="14.5" bestFit="1" customWidth="1"/>
    <col min="669" max="669" width="22.5" bestFit="1" customWidth="1"/>
    <col min="670" max="670" width="14.5" bestFit="1" customWidth="1"/>
    <col min="671" max="671" width="22.5" bestFit="1" customWidth="1"/>
    <col min="672" max="672" width="14.5" bestFit="1" customWidth="1"/>
    <col min="673" max="673" width="22.5" bestFit="1" customWidth="1"/>
    <col min="674" max="674" width="14.5" bestFit="1" customWidth="1"/>
    <col min="675" max="675" width="21.375" customWidth="1"/>
    <col min="676" max="676" width="14.5" bestFit="1" customWidth="1"/>
    <col min="677" max="677" width="22.5" bestFit="1" customWidth="1"/>
    <col min="678" max="678" width="14.5" bestFit="1" customWidth="1"/>
    <col min="679" max="679" width="22.5" bestFit="1" customWidth="1"/>
    <col min="680" max="680" width="14.5" bestFit="1" customWidth="1"/>
    <col min="681" max="681" width="21.375" customWidth="1"/>
    <col min="682" max="682" width="5.25" customWidth="1"/>
  </cols>
  <sheetData>
    <row r="1" spans="1:12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678</v>
      </c>
      <c r="J1" s="3" t="s">
        <v>981</v>
      </c>
    </row>
    <row r="2" spans="1:12" x14ac:dyDescent="0.2">
      <c r="A2" s="3" t="s">
        <v>342</v>
      </c>
      <c r="B2">
        <v>398.3583984375</v>
      </c>
      <c r="C2">
        <v>15.2500864142146</v>
      </c>
      <c r="D2">
        <v>31.8309692670488</v>
      </c>
      <c r="E2">
        <v>39.389965960076303</v>
      </c>
      <c r="F2">
        <v>0.98695396989254103</v>
      </c>
      <c r="G2">
        <v>87.244729516625796</v>
      </c>
      <c r="H2">
        <v>85.672436851285696</v>
      </c>
      <c r="I2" t="str">
        <f>MID(A2,1,(FIND("yuv",A2))-1)</f>
        <v>bar</v>
      </c>
      <c r="J2" t="s">
        <v>982</v>
      </c>
    </row>
    <row r="3" spans="1:12" x14ac:dyDescent="0.2">
      <c r="A3" s="3" t="s">
        <v>343</v>
      </c>
      <c r="B3">
        <v>345.6572265625</v>
      </c>
      <c r="C3">
        <v>17.5752147884041</v>
      </c>
      <c r="D3">
        <v>31.174015741658899</v>
      </c>
      <c r="E3">
        <v>38.7332003045805</v>
      </c>
      <c r="F3">
        <v>0.98495651919879601</v>
      </c>
      <c r="G3">
        <v>85.940716593787499</v>
      </c>
      <c r="H3">
        <v>84.453064357591799</v>
      </c>
      <c r="I3" t="str">
        <f t="shared" ref="I3:I66" si="0">MID(A3,1,(FIND("yuv",A3))-1)</f>
        <v>bar</v>
      </c>
      <c r="J3" t="s">
        <v>982</v>
      </c>
    </row>
    <row r="4" spans="1:12" x14ac:dyDescent="0.2">
      <c r="A4" s="3" t="s">
        <v>344</v>
      </c>
      <c r="B4">
        <v>298.1171875</v>
      </c>
      <c r="C4">
        <v>20.3778925024241</v>
      </c>
      <c r="D4">
        <v>30.555156994542699</v>
      </c>
      <c r="E4">
        <v>38.115804185838499</v>
      </c>
      <c r="F4">
        <v>0.98289289292549697</v>
      </c>
      <c r="G4">
        <v>84.709716553987505</v>
      </c>
      <c r="H4">
        <v>83.219829090976404</v>
      </c>
      <c r="I4" t="str">
        <f t="shared" si="0"/>
        <v>bar</v>
      </c>
      <c r="J4" t="s">
        <v>982</v>
      </c>
    </row>
    <row r="5" spans="1:12" x14ac:dyDescent="0.2">
      <c r="A5" s="3" t="s">
        <v>345</v>
      </c>
      <c r="B5">
        <v>254.1416015625</v>
      </c>
      <c r="C5">
        <v>23.9039966800005</v>
      </c>
      <c r="D5">
        <v>29.968855745712698</v>
      </c>
      <c r="E5">
        <v>37.529848864150601</v>
      </c>
      <c r="F5">
        <v>0.980720055699419</v>
      </c>
      <c r="G5">
        <v>83.534852820717106</v>
      </c>
      <c r="H5">
        <v>81.949835044564693</v>
      </c>
      <c r="I5" t="str">
        <f t="shared" si="0"/>
        <v>bar</v>
      </c>
      <c r="J5" t="s">
        <v>982</v>
      </c>
    </row>
    <row r="6" spans="1:12" x14ac:dyDescent="0.2">
      <c r="A6" s="3" t="s">
        <v>346</v>
      </c>
      <c r="B6">
        <v>216.5419921875</v>
      </c>
      <c r="C6">
        <v>28.054604738002801</v>
      </c>
      <c r="D6">
        <v>29.428958865440698</v>
      </c>
      <c r="E6">
        <v>36.991194374497802</v>
      </c>
      <c r="F6">
        <v>0.97866610089183803</v>
      </c>
      <c r="G6">
        <v>82.447032138420397</v>
      </c>
      <c r="H6">
        <v>80.775614436297204</v>
      </c>
      <c r="I6" t="str">
        <f t="shared" si="0"/>
        <v>bar</v>
      </c>
      <c r="J6" t="s">
        <v>982</v>
      </c>
    </row>
    <row r="7" spans="1:12" x14ac:dyDescent="0.2">
      <c r="A7" s="3" t="s">
        <v>347</v>
      </c>
      <c r="B7">
        <v>184.939453125</v>
      </c>
      <c r="C7">
        <v>32.848588537211299</v>
      </c>
      <c r="D7">
        <v>28.927079008958898</v>
      </c>
      <c r="E7">
        <v>36.490447693043002</v>
      </c>
      <c r="F7">
        <v>0.97673435965663102</v>
      </c>
      <c r="G7">
        <v>81.426700473146695</v>
      </c>
      <c r="H7">
        <v>79.694067456424804</v>
      </c>
      <c r="I7" t="str">
        <f t="shared" si="0"/>
        <v>bar</v>
      </c>
      <c r="J7" t="s">
        <v>982</v>
      </c>
      <c r="K7" s="5"/>
      <c r="L7" s="5"/>
    </row>
    <row r="8" spans="1:12" x14ac:dyDescent="0.2">
      <c r="A8" s="3" t="s">
        <v>348</v>
      </c>
      <c r="B8">
        <v>158.953125</v>
      </c>
      <c r="C8">
        <v>38.218814508994399</v>
      </c>
      <c r="D8">
        <v>28.451283777306799</v>
      </c>
      <c r="E8">
        <v>36.014693256207302</v>
      </c>
      <c r="F8">
        <v>0.97494256069736496</v>
      </c>
      <c r="G8">
        <v>80.446576912584305</v>
      </c>
      <c r="H8">
        <v>78.710228481783602</v>
      </c>
      <c r="I8" t="str">
        <f t="shared" si="0"/>
        <v>bar</v>
      </c>
      <c r="J8" t="s">
        <v>982</v>
      </c>
      <c r="K8" s="5"/>
      <c r="L8" s="5"/>
    </row>
    <row r="9" spans="1:12" x14ac:dyDescent="0.2">
      <c r="A9" s="3" t="s">
        <v>349</v>
      </c>
      <c r="B9">
        <v>137.44140625</v>
      </c>
      <c r="C9">
        <v>44.200653687650998</v>
      </c>
      <c r="D9">
        <v>27.983056559073901</v>
      </c>
      <c r="E9">
        <v>35.546749362937199</v>
      </c>
      <c r="F9">
        <v>0.973214975296954</v>
      </c>
      <c r="G9">
        <v>79.469249836935305</v>
      </c>
      <c r="H9">
        <v>77.778945465851805</v>
      </c>
      <c r="I9" t="str">
        <f t="shared" si="0"/>
        <v>bar</v>
      </c>
      <c r="J9" t="s">
        <v>982</v>
      </c>
      <c r="K9" s="5"/>
      <c r="L9" s="5"/>
    </row>
    <row r="10" spans="1:12" x14ac:dyDescent="0.2">
      <c r="A10" s="3" t="s">
        <v>350</v>
      </c>
      <c r="B10">
        <v>119.947265625</v>
      </c>
      <c r="C10">
        <v>50.647257095403198</v>
      </c>
      <c r="D10">
        <v>27.5210244107246</v>
      </c>
      <c r="E10">
        <v>35.086193766157599</v>
      </c>
      <c r="F10">
        <v>0.97160971373788996</v>
      </c>
      <c r="G10">
        <v>78.490710769317005</v>
      </c>
      <c r="H10">
        <v>76.928545759248394</v>
      </c>
      <c r="I10" t="str">
        <f t="shared" si="0"/>
        <v>bar</v>
      </c>
      <c r="J10" t="s">
        <v>982</v>
      </c>
      <c r="K10" s="5"/>
      <c r="L10" s="5"/>
    </row>
    <row r="11" spans="1:12" x14ac:dyDescent="0.2">
      <c r="A11" s="3" t="s">
        <v>351</v>
      </c>
      <c r="B11">
        <v>105.689453125</v>
      </c>
      <c r="C11">
        <v>57.479718367120697</v>
      </c>
      <c r="D11">
        <v>27.061144976080602</v>
      </c>
      <c r="E11">
        <v>34.6268372800115</v>
      </c>
      <c r="F11">
        <v>0.969868444080216</v>
      </c>
      <c r="G11">
        <v>77.493581306988403</v>
      </c>
      <c r="H11">
        <v>76.022074792849693</v>
      </c>
      <c r="I11" t="str">
        <f t="shared" si="0"/>
        <v>bar</v>
      </c>
      <c r="J11" t="s">
        <v>982</v>
      </c>
      <c r="K11" s="5"/>
      <c r="L11" s="5"/>
    </row>
    <row r="12" spans="1:12" x14ac:dyDescent="0.2">
      <c r="A12" s="3" t="s">
        <v>352</v>
      </c>
      <c r="B12">
        <v>93.732421875</v>
      </c>
      <c r="C12">
        <v>64.812152278552205</v>
      </c>
      <c r="D12">
        <v>26.593390319152501</v>
      </c>
      <c r="E12">
        <v>34.1605954208028</v>
      </c>
      <c r="F12">
        <v>0.96811046962425895</v>
      </c>
      <c r="G12">
        <v>76.453866118639894</v>
      </c>
      <c r="H12">
        <v>75.123468975816394</v>
      </c>
      <c r="I12" t="str">
        <f t="shared" si="0"/>
        <v>bar</v>
      </c>
      <c r="J12" t="s">
        <v>982</v>
      </c>
      <c r="K12" s="5"/>
      <c r="L12" s="5"/>
    </row>
    <row r="13" spans="1:12" x14ac:dyDescent="0.2">
      <c r="A13" s="3" t="s">
        <v>353</v>
      </c>
      <c r="B13">
        <v>83.408203125</v>
      </c>
      <c r="C13">
        <v>72.834562697576402</v>
      </c>
      <c r="D13">
        <v>26.127564963901801</v>
      </c>
      <c r="E13">
        <v>33.6964674049769</v>
      </c>
      <c r="F13">
        <v>0.96612455656610496</v>
      </c>
      <c r="G13">
        <v>75.383603989978496</v>
      </c>
      <c r="H13">
        <v>74.127973332105299</v>
      </c>
      <c r="I13" t="str">
        <f t="shared" si="0"/>
        <v>bar</v>
      </c>
      <c r="J13" t="s">
        <v>982</v>
      </c>
      <c r="K13" s="5"/>
      <c r="L13" s="5"/>
    </row>
    <row r="14" spans="1:12" x14ac:dyDescent="0.2">
      <c r="A14" s="3" t="s">
        <v>354</v>
      </c>
      <c r="B14">
        <v>74.66796875</v>
      </c>
      <c r="C14">
        <v>81.360188333769301</v>
      </c>
      <c r="D14">
        <v>25.639985752302</v>
      </c>
      <c r="E14">
        <v>33.208092636090498</v>
      </c>
      <c r="F14">
        <v>0.96391520598535196</v>
      </c>
      <c r="G14">
        <v>74.209059732364295</v>
      </c>
      <c r="H14">
        <v>73.044413989181294</v>
      </c>
      <c r="I14" t="str">
        <f t="shared" si="0"/>
        <v>bar</v>
      </c>
      <c r="J14" t="s">
        <v>982</v>
      </c>
      <c r="K14" s="5"/>
      <c r="L14" s="5"/>
    </row>
    <row r="15" spans="1:12" x14ac:dyDescent="0.2">
      <c r="A15" s="3" t="s">
        <v>355</v>
      </c>
      <c r="B15">
        <v>66.025390625</v>
      </c>
      <c r="C15">
        <v>92.010057683774605</v>
      </c>
      <c r="D15">
        <v>25.129402020784902</v>
      </c>
      <c r="E15">
        <v>32.697661999571203</v>
      </c>
      <c r="F15">
        <v>0.96136136787375503</v>
      </c>
      <c r="G15">
        <v>72.914051318135506</v>
      </c>
      <c r="H15">
        <v>71.822562290545903</v>
      </c>
      <c r="I15" t="str">
        <f t="shared" si="0"/>
        <v>bar</v>
      </c>
      <c r="J15" t="s">
        <v>982</v>
      </c>
      <c r="K15" s="5"/>
      <c r="L15" s="5"/>
    </row>
    <row r="16" spans="1:12" x14ac:dyDescent="0.2">
      <c r="A16" s="3" t="s">
        <v>356</v>
      </c>
      <c r="B16">
        <v>59.15625</v>
      </c>
      <c r="C16">
        <v>102.694136291601</v>
      </c>
      <c r="D16">
        <v>24.626909519586601</v>
      </c>
      <c r="E16">
        <v>32.200495720338402</v>
      </c>
      <c r="F16">
        <v>0.95873084879501003</v>
      </c>
      <c r="G16">
        <v>71.569048782347906</v>
      </c>
      <c r="H16">
        <v>70.597482379193707</v>
      </c>
      <c r="I16" t="str">
        <f t="shared" si="0"/>
        <v>bar</v>
      </c>
      <c r="J16" t="s">
        <v>982</v>
      </c>
      <c r="K16" s="5"/>
      <c r="L16" s="5"/>
    </row>
    <row r="17" spans="1:12" x14ac:dyDescent="0.2">
      <c r="A17" s="3" t="s">
        <v>357</v>
      </c>
      <c r="B17">
        <v>52.5888671875</v>
      </c>
      <c r="C17">
        <v>115.51874616998801</v>
      </c>
      <c r="D17">
        <v>24.116841862949801</v>
      </c>
      <c r="E17">
        <v>31.6905548625111</v>
      </c>
      <c r="F17">
        <v>0.95574043153734001</v>
      </c>
      <c r="G17">
        <v>70.082640037522594</v>
      </c>
      <c r="H17">
        <v>69.244818818139507</v>
      </c>
      <c r="I17" t="str">
        <f t="shared" si="0"/>
        <v>bar</v>
      </c>
      <c r="J17" t="s">
        <v>982</v>
      </c>
      <c r="K17" s="5"/>
      <c r="L17" s="5"/>
    </row>
    <row r="18" spans="1:12" x14ac:dyDescent="0.2">
      <c r="A18" s="3" t="s">
        <v>630</v>
      </c>
      <c r="B18">
        <v>636.3310546875</v>
      </c>
      <c r="C18">
        <v>9.5469173714669804</v>
      </c>
      <c r="D18">
        <v>29.7333968853237</v>
      </c>
      <c r="E18">
        <v>37.441881755116299</v>
      </c>
      <c r="F18">
        <v>0.97126560511304205</v>
      </c>
      <c r="G18">
        <v>83.357777382190505</v>
      </c>
      <c r="H18">
        <v>76.748100364343102</v>
      </c>
      <c r="I18" t="str">
        <f t="shared" si="0"/>
        <v>boston</v>
      </c>
      <c r="J18" t="s">
        <v>982</v>
      </c>
      <c r="K18" s="5"/>
      <c r="L18" s="5"/>
    </row>
    <row r="19" spans="1:12" x14ac:dyDescent="0.2">
      <c r="A19" s="3" t="s">
        <v>631</v>
      </c>
      <c r="B19">
        <v>575.1025390625</v>
      </c>
      <c r="C19">
        <v>10.563333644645599</v>
      </c>
      <c r="D19">
        <v>28.925821331640201</v>
      </c>
      <c r="E19">
        <v>36.6361411019735</v>
      </c>
      <c r="F19">
        <v>0.96603980614663298</v>
      </c>
      <c r="G19">
        <v>81.7246270117774</v>
      </c>
      <c r="H19">
        <v>74.085946538111799</v>
      </c>
      <c r="I19" t="str">
        <f t="shared" si="0"/>
        <v>boston</v>
      </c>
      <c r="J19" t="s">
        <v>982</v>
      </c>
      <c r="K19" s="5"/>
      <c r="L19" s="5"/>
    </row>
    <row r="20" spans="1:12" x14ac:dyDescent="0.2">
      <c r="A20" s="3" t="s">
        <v>632</v>
      </c>
      <c r="B20">
        <v>517.578125</v>
      </c>
      <c r="C20">
        <v>11.737358490566001</v>
      </c>
      <c r="D20">
        <v>28.165299853490598</v>
      </c>
      <c r="E20">
        <v>35.876559606584898</v>
      </c>
      <c r="F20">
        <v>0.96015961988668197</v>
      </c>
      <c r="G20">
        <v>80.159606002542503</v>
      </c>
      <c r="H20">
        <v>71.258731619449506</v>
      </c>
      <c r="I20" t="str">
        <f t="shared" si="0"/>
        <v>boston</v>
      </c>
      <c r="J20" t="s">
        <v>982</v>
      </c>
      <c r="K20" s="5"/>
      <c r="L20" s="5"/>
    </row>
    <row r="21" spans="1:12" x14ac:dyDescent="0.2">
      <c r="A21" s="3" t="s">
        <v>633</v>
      </c>
      <c r="B21">
        <v>463.849609375</v>
      </c>
      <c r="C21">
        <v>13.0969173568683</v>
      </c>
      <c r="D21">
        <v>27.400879742035201</v>
      </c>
      <c r="E21">
        <v>35.113261922201502</v>
      </c>
      <c r="F21">
        <v>0.95344512931674796</v>
      </c>
      <c r="G21">
        <v>78.548758184270895</v>
      </c>
      <c r="H21">
        <v>68.234644164362393</v>
      </c>
      <c r="I21" t="str">
        <f t="shared" si="0"/>
        <v>boston</v>
      </c>
      <c r="J21" t="s">
        <v>982</v>
      </c>
      <c r="K21" s="5"/>
      <c r="L21" s="5"/>
    </row>
    <row r="22" spans="1:12" x14ac:dyDescent="0.2">
      <c r="A22" s="3" t="s">
        <v>634</v>
      </c>
      <c r="B22">
        <v>413.177734375</v>
      </c>
      <c r="C22">
        <v>14.703115619696799</v>
      </c>
      <c r="D22">
        <v>26.612574937440499</v>
      </c>
      <c r="E22">
        <v>34.326465823403701</v>
      </c>
      <c r="F22">
        <v>0.94554790114851806</v>
      </c>
      <c r="G22">
        <v>76.827390232571005</v>
      </c>
      <c r="H22">
        <v>64.936475174865805</v>
      </c>
      <c r="I22" t="str">
        <f t="shared" si="0"/>
        <v>boston</v>
      </c>
      <c r="J22" t="s">
        <v>982</v>
      </c>
      <c r="K22" s="5"/>
      <c r="L22" s="5"/>
    </row>
    <row r="23" spans="1:12" x14ac:dyDescent="0.2">
      <c r="A23" s="3" t="s">
        <v>635</v>
      </c>
      <c r="B23">
        <v>368.2939453125</v>
      </c>
      <c r="C23">
        <v>16.4949765732513</v>
      </c>
      <c r="D23">
        <v>25.887750680705601</v>
      </c>
      <c r="E23">
        <v>33.604375642102198</v>
      </c>
      <c r="F23">
        <v>0.93731074368235601</v>
      </c>
      <c r="G23">
        <v>75.166273893382296</v>
      </c>
      <c r="H23">
        <v>61.77016759464</v>
      </c>
      <c r="I23" t="str">
        <f t="shared" si="0"/>
        <v>boston</v>
      </c>
      <c r="J23" t="s">
        <v>982</v>
      </c>
      <c r="K23" s="5"/>
      <c r="L23" s="5"/>
    </row>
    <row r="24" spans="1:12" x14ac:dyDescent="0.2">
      <c r="A24" s="3" t="s">
        <v>636</v>
      </c>
      <c r="B24">
        <v>326.30078125</v>
      </c>
      <c r="C24">
        <v>18.617791770916899</v>
      </c>
      <c r="D24">
        <v>25.172847810641802</v>
      </c>
      <c r="E24">
        <v>32.891004104900802</v>
      </c>
      <c r="F24">
        <v>0.92829291359470401</v>
      </c>
      <c r="G24">
        <v>73.413762941704604</v>
      </c>
      <c r="H24">
        <v>58.595867305665003</v>
      </c>
      <c r="I24" t="str">
        <f t="shared" si="0"/>
        <v>boston</v>
      </c>
      <c r="J24" t="s">
        <v>982</v>
      </c>
      <c r="K24" s="5"/>
      <c r="L24" s="5"/>
    </row>
    <row r="25" spans="1:12" x14ac:dyDescent="0.2">
      <c r="A25" s="3" t="s">
        <v>637</v>
      </c>
      <c r="B25">
        <v>285.919921875</v>
      </c>
      <c r="C25">
        <v>21.247207820152902</v>
      </c>
      <c r="D25">
        <v>24.4332621114098</v>
      </c>
      <c r="E25">
        <v>32.154186354821597</v>
      </c>
      <c r="F25">
        <v>0.91811202586609797</v>
      </c>
      <c r="G25">
        <v>71.438867242297206</v>
      </c>
      <c r="H25">
        <v>55.343462600502797</v>
      </c>
      <c r="I25" t="str">
        <f t="shared" si="0"/>
        <v>boston</v>
      </c>
      <c r="J25" t="s">
        <v>982</v>
      </c>
      <c r="K25" s="5"/>
      <c r="L25" s="5"/>
    </row>
    <row r="26" spans="1:12" x14ac:dyDescent="0.2">
      <c r="A26" s="3" t="s">
        <v>638</v>
      </c>
      <c r="B26">
        <v>249.998046875</v>
      </c>
      <c r="C26">
        <v>24.300189845233199</v>
      </c>
      <c r="D26">
        <v>23.710340581223299</v>
      </c>
      <c r="E26">
        <v>31.431518833427099</v>
      </c>
      <c r="F26">
        <v>0.90700697571051503</v>
      </c>
      <c r="G26">
        <v>69.278627746102401</v>
      </c>
      <c r="H26">
        <v>52.153515590759497</v>
      </c>
      <c r="I26" t="str">
        <f t="shared" si="0"/>
        <v>boston</v>
      </c>
      <c r="J26" t="s">
        <v>982</v>
      </c>
      <c r="K26" s="5"/>
      <c r="L26" s="5"/>
    </row>
    <row r="27" spans="1:12" x14ac:dyDescent="0.2">
      <c r="A27" s="3" t="s">
        <v>639</v>
      </c>
      <c r="B27">
        <v>217.2998046875</v>
      </c>
      <c r="C27">
        <v>27.9567669595308</v>
      </c>
      <c r="D27">
        <v>22.997051585536902</v>
      </c>
      <c r="E27">
        <v>30.724391599946902</v>
      </c>
      <c r="F27">
        <v>0.89482022734467803</v>
      </c>
      <c r="G27">
        <v>66.884727186200607</v>
      </c>
      <c r="H27">
        <v>49.031519831128399</v>
      </c>
      <c r="I27" t="str">
        <f t="shared" si="0"/>
        <v>boston</v>
      </c>
      <c r="J27" t="s">
        <v>982</v>
      </c>
      <c r="K27" s="5"/>
      <c r="L27" s="5"/>
    </row>
    <row r="28" spans="1:12" x14ac:dyDescent="0.2">
      <c r="A28" s="3" t="s">
        <v>640</v>
      </c>
      <c r="B28">
        <v>188.298828125</v>
      </c>
      <c r="C28">
        <v>32.262548102355602</v>
      </c>
      <c r="D28">
        <v>22.322052664218901</v>
      </c>
      <c r="E28">
        <v>30.048888144946702</v>
      </c>
      <c r="F28">
        <v>0.88193642674780504</v>
      </c>
      <c r="G28">
        <v>64.282887908216196</v>
      </c>
      <c r="H28">
        <v>46.106706621788099</v>
      </c>
      <c r="I28" t="str">
        <f t="shared" si="0"/>
        <v>boston</v>
      </c>
      <c r="J28" t="s">
        <v>982</v>
      </c>
      <c r="K28" s="5"/>
      <c r="L28" s="5"/>
    </row>
    <row r="29" spans="1:12" x14ac:dyDescent="0.2">
      <c r="A29" s="3" t="s">
        <v>641</v>
      </c>
      <c r="B29">
        <v>162.8583984375</v>
      </c>
      <c r="C29">
        <v>37.3023439889187</v>
      </c>
      <c r="D29">
        <v>21.6629727793222</v>
      </c>
      <c r="E29">
        <v>29.396520814385099</v>
      </c>
      <c r="F29">
        <v>0.86783575002148405</v>
      </c>
      <c r="G29">
        <v>61.446762671852198</v>
      </c>
      <c r="H29">
        <v>43.286998201929499</v>
      </c>
      <c r="I29" t="str">
        <f t="shared" si="0"/>
        <v>boston</v>
      </c>
      <c r="J29" t="s">
        <v>982</v>
      </c>
    </row>
    <row r="30" spans="1:12" x14ac:dyDescent="0.2">
      <c r="A30" s="3" t="s">
        <v>642</v>
      </c>
      <c r="B30">
        <v>140.4365234375</v>
      </c>
      <c r="C30">
        <v>43.257977706231301</v>
      </c>
      <c r="D30">
        <v>21.0398896199193</v>
      </c>
      <c r="E30">
        <v>28.778014461269301</v>
      </c>
      <c r="F30">
        <v>0.852655012503303</v>
      </c>
      <c r="G30">
        <v>58.471156019423297</v>
      </c>
      <c r="H30">
        <v>40.630530052375398</v>
      </c>
      <c r="I30" t="str">
        <f t="shared" si="0"/>
        <v>boston</v>
      </c>
      <c r="J30" t="s">
        <v>982</v>
      </c>
    </row>
    <row r="31" spans="1:12" x14ac:dyDescent="0.2">
      <c r="A31" s="3" t="s">
        <v>643</v>
      </c>
      <c r="B31">
        <v>119.6826171875</v>
      </c>
      <c r="C31">
        <v>50.759250948553699</v>
      </c>
      <c r="D31">
        <v>20.395805751530599</v>
      </c>
      <c r="E31">
        <v>28.136311870856801</v>
      </c>
      <c r="F31">
        <v>0.83506673098568696</v>
      </c>
      <c r="G31">
        <v>55.1440327970327</v>
      </c>
      <c r="H31">
        <v>37.963604433966601</v>
      </c>
      <c r="I31" t="str">
        <f t="shared" si="0"/>
        <v>boston</v>
      </c>
      <c r="J31" t="s">
        <v>982</v>
      </c>
    </row>
    <row r="32" spans="1:12" x14ac:dyDescent="0.2">
      <c r="A32" s="3" t="s">
        <v>644</v>
      </c>
      <c r="B32">
        <v>102.6005859375</v>
      </c>
      <c r="C32">
        <v>59.210188172810597</v>
      </c>
      <c r="D32">
        <v>19.816318370557401</v>
      </c>
      <c r="E32">
        <v>27.563092966767101</v>
      </c>
      <c r="F32">
        <v>0.817638885043943</v>
      </c>
      <c r="G32">
        <v>52.050671627999598</v>
      </c>
      <c r="H32">
        <v>35.6795251566923</v>
      </c>
      <c r="I32" t="str">
        <f t="shared" si="0"/>
        <v>boston</v>
      </c>
      <c r="J32" t="s">
        <v>982</v>
      </c>
    </row>
    <row r="33" spans="1:10" x14ac:dyDescent="0.2">
      <c r="A33" s="3" t="s">
        <v>645</v>
      </c>
      <c r="B33">
        <v>87.7568359375</v>
      </c>
      <c r="C33">
        <v>69.225376406307404</v>
      </c>
      <c r="D33">
        <v>19.264818943006102</v>
      </c>
      <c r="E33">
        <v>27.011636002538999</v>
      </c>
      <c r="F33">
        <v>0.79864826369883002</v>
      </c>
      <c r="G33">
        <v>49.0624292886896</v>
      </c>
      <c r="H33">
        <v>33.520327817039998</v>
      </c>
      <c r="I33" t="str">
        <f t="shared" si="0"/>
        <v>boston</v>
      </c>
      <c r="J33" t="s">
        <v>982</v>
      </c>
    </row>
    <row r="34" spans="1:10" x14ac:dyDescent="0.2">
      <c r="A34" s="3" t="s">
        <v>438</v>
      </c>
      <c r="B34">
        <v>215.576171875</v>
      </c>
      <c r="C34">
        <v>28.180294450736099</v>
      </c>
      <c r="D34">
        <v>33.732860434266897</v>
      </c>
      <c r="E34">
        <v>42.579397290763602</v>
      </c>
      <c r="F34">
        <v>0.98789471692658704</v>
      </c>
      <c r="G34">
        <v>93.539427424952905</v>
      </c>
      <c r="H34">
        <v>86.255638025612399</v>
      </c>
      <c r="I34" t="str">
        <f t="shared" si="0"/>
        <v>bottle</v>
      </c>
      <c r="J34" t="s">
        <v>982</v>
      </c>
    </row>
    <row r="35" spans="1:10" x14ac:dyDescent="0.2">
      <c r="A35" s="3" t="s">
        <v>439</v>
      </c>
      <c r="B35">
        <v>191.599609375</v>
      </c>
      <c r="C35">
        <v>31.706745226760699</v>
      </c>
      <c r="D35">
        <v>33.1452095641827</v>
      </c>
      <c r="E35">
        <v>41.991738433724699</v>
      </c>
      <c r="F35">
        <v>0.98662558124939803</v>
      </c>
      <c r="G35">
        <v>92.382112660858795</v>
      </c>
      <c r="H35">
        <v>85.470208723234194</v>
      </c>
      <c r="I35" t="str">
        <f t="shared" si="0"/>
        <v>bottle</v>
      </c>
      <c r="J35" t="s">
        <v>982</v>
      </c>
    </row>
    <row r="36" spans="1:10" x14ac:dyDescent="0.2">
      <c r="A36" s="3" t="s">
        <v>440</v>
      </c>
      <c r="B36">
        <v>170.591796875</v>
      </c>
      <c r="C36">
        <v>35.611325463975398</v>
      </c>
      <c r="D36">
        <v>32.549688942570903</v>
      </c>
      <c r="E36">
        <v>41.396588273203001</v>
      </c>
      <c r="F36">
        <v>0.98515054307338301</v>
      </c>
      <c r="G36">
        <v>91.209314260680102</v>
      </c>
      <c r="H36">
        <v>84.570392221059606</v>
      </c>
      <c r="I36" t="str">
        <f t="shared" si="0"/>
        <v>bottle</v>
      </c>
      <c r="J36" t="s">
        <v>982</v>
      </c>
    </row>
    <row r="37" spans="1:10" x14ac:dyDescent="0.2">
      <c r="A37" s="3" t="s">
        <v>441</v>
      </c>
      <c r="B37">
        <v>152.169921875</v>
      </c>
      <c r="C37">
        <v>39.922475645287598</v>
      </c>
      <c r="D37">
        <v>31.959179466648902</v>
      </c>
      <c r="E37">
        <v>40.806972283083198</v>
      </c>
      <c r="F37">
        <v>0.98359485741680497</v>
      </c>
      <c r="G37">
        <v>90.046406895532499</v>
      </c>
      <c r="H37">
        <v>83.636336814121705</v>
      </c>
      <c r="I37" t="str">
        <f t="shared" si="0"/>
        <v>bottle</v>
      </c>
      <c r="J37" t="s">
        <v>982</v>
      </c>
    </row>
    <row r="38" spans="1:10" x14ac:dyDescent="0.2">
      <c r="A38" s="3" t="s">
        <v>442</v>
      </c>
      <c r="B38">
        <v>135.7548828125</v>
      </c>
      <c r="C38">
        <v>44.749771604094597</v>
      </c>
      <c r="D38">
        <v>31.354499278814799</v>
      </c>
      <c r="E38">
        <v>40.203355822418999</v>
      </c>
      <c r="F38">
        <v>0.98174923679749404</v>
      </c>
      <c r="G38">
        <v>88.854417860032996</v>
      </c>
      <c r="H38">
        <v>82.547774071759505</v>
      </c>
      <c r="I38" t="str">
        <f t="shared" si="0"/>
        <v>bottle</v>
      </c>
      <c r="J38" t="s">
        <v>982</v>
      </c>
    </row>
    <row r="39" spans="1:10" x14ac:dyDescent="0.2">
      <c r="A39" s="3" t="s">
        <v>443</v>
      </c>
      <c r="B39">
        <v>121.115234375</v>
      </c>
      <c r="C39">
        <v>50.158842785957297</v>
      </c>
      <c r="D39">
        <v>30.760056815834599</v>
      </c>
      <c r="E39">
        <v>39.608620693886003</v>
      </c>
      <c r="F39">
        <v>0.97972314864550203</v>
      </c>
      <c r="G39">
        <v>87.677928496115399</v>
      </c>
      <c r="H39">
        <v>81.376760769434895</v>
      </c>
      <c r="I39" t="str">
        <f t="shared" si="0"/>
        <v>bottle</v>
      </c>
      <c r="J39" t="s">
        <v>982</v>
      </c>
    </row>
    <row r="40" spans="1:10" x14ac:dyDescent="0.2">
      <c r="A40" s="3" t="s">
        <v>444</v>
      </c>
      <c r="B40">
        <v>108.1875</v>
      </c>
      <c r="C40">
        <v>56.1525129982669</v>
      </c>
      <c r="D40">
        <v>30.1644717991535</v>
      </c>
      <c r="E40">
        <v>39.014308257634703</v>
      </c>
      <c r="F40">
        <v>0.977622743406799</v>
      </c>
      <c r="G40">
        <v>86.499438019232798</v>
      </c>
      <c r="H40">
        <v>80.188742323276102</v>
      </c>
      <c r="I40" t="str">
        <f t="shared" si="0"/>
        <v>bottle</v>
      </c>
      <c r="J40" t="s">
        <v>982</v>
      </c>
    </row>
    <row r="41" spans="1:10" x14ac:dyDescent="0.2">
      <c r="A41" s="3" t="s">
        <v>445</v>
      </c>
      <c r="B41">
        <v>96.4765625</v>
      </c>
      <c r="C41">
        <v>62.968661430075301</v>
      </c>
      <c r="D41">
        <v>29.555922591536401</v>
      </c>
      <c r="E41">
        <v>38.405316453719799</v>
      </c>
      <c r="F41">
        <v>0.97507283812504197</v>
      </c>
      <c r="G41">
        <v>85.287705711535807</v>
      </c>
      <c r="H41">
        <v>78.781141126807597</v>
      </c>
      <c r="I41" t="str">
        <f t="shared" si="0"/>
        <v>bottle</v>
      </c>
      <c r="J41" t="s">
        <v>982</v>
      </c>
    </row>
    <row r="42" spans="1:10" x14ac:dyDescent="0.2">
      <c r="A42" s="3" t="s">
        <v>446</v>
      </c>
      <c r="B42">
        <v>85.896484375</v>
      </c>
      <c r="C42">
        <v>70.724664044202896</v>
      </c>
      <c r="D42">
        <v>28.974546892584399</v>
      </c>
      <c r="E42">
        <v>37.823863914351698</v>
      </c>
      <c r="F42">
        <v>0.97245313435974701</v>
      </c>
      <c r="G42">
        <v>84.125304114482802</v>
      </c>
      <c r="H42">
        <v>77.373575784539995</v>
      </c>
      <c r="I42" t="str">
        <f t="shared" si="0"/>
        <v>bottle</v>
      </c>
      <c r="J42" t="s">
        <v>982</v>
      </c>
    </row>
    <row r="43" spans="1:10" x14ac:dyDescent="0.2">
      <c r="A43" s="3" t="s">
        <v>447</v>
      </c>
      <c r="B43">
        <v>76.904296875</v>
      </c>
      <c r="C43">
        <v>78.994285714285695</v>
      </c>
      <c r="D43">
        <v>28.3873800237842</v>
      </c>
      <c r="E43">
        <v>37.238811185550198</v>
      </c>
      <c r="F43">
        <v>0.96953425434519902</v>
      </c>
      <c r="G43">
        <v>82.948184084002904</v>
      </c>
      <c r="H43">
        <v>75.849979061191803</v>
      </c>
      <c r="I43" t="str">
        <f t="shared" si="0"/>
        <v>bottle</v>
      </c>
      <c r="J43" t="s">
        <v>982</v>
      </c>
    </row>
    <row r="44" spans="1:10" x14ac:dyDescent="0.2">
      <c r="A44" s="3" t="s">
        <v>448</v>
      </c>
      <c r="B44">
        <v>68.6142578125</v>
      </c>
      <c r="C44">
        <v>88.538449495452696</v>
      </c>
      <c r="D44">
        <v>27.801957858213001</v>
      </c>
      <c r="E44">
        <v>36.6505950935694</v>
      </c>
      <c r="F44">
        <v>0.96640706671561105</v>
      </c>
      <c r="G44">
        <v>81.754133396072802</v>
      </c>
      <c r="H44">
        <v>74.268335376737696</v>
      </c>
      <c r="I44" t="str">
        <f t="shared" si="0"/>
        <v>bottle</v>
      </c>
      <c r="J44" t="s">
        <v>982</v>
      </c>
    </row>
    <row r="45" spans="1:10" x14ac:dyDescent="0.2">
      <c r="A45" s="3" t="s">
        <v>449</v>
      </c>
      <c r="B45">
        <v>61.4228515625</v>
      </c>
      <c r="C45">
        <v>98.904558246021296</v>
      </c>
      <c r="D45">
        <v>27.222702807220902</v>
      </c>
      <c r="E45">
        <v>36.076784667700302</v>
      </c>
      <c r="F45">
        <v>0.96297589482812196</v>
      </c>
      <c r="G45">
        <v>80.575192913531495</v>
      </c>
      <c r="H45">
        <v>72.591233817798596</v>
      </c>
      <c r="I45" t="str">
        <f t="shared" si="0"/>
        <v>bottle</v>
      </c>
      <c r="J45" t="s">
        <v>982</v>
      </c>
    </row>
    <row r="46" spans="1:10" x14ac:dyDescent="0.2">
      <c r="A46" s="3" t="s">
        <v>450</v>
      </c>
      <c r="B46">
        <v>54.5859375</v>
      </c>
      <c r="C46">
        <v>111.292400171748</v>
      </c>
      <c r="D46">
        <v>26.613329780196601</v>
      </c>
      <c r="E46">
        <v>35.468827628392297</v>
      </c>
      <c r="F46">
        <v>0.95898209423897696</v>
      </c>
      <c r="G46">
        <v>79.3049668206734</v>
      </c>
      <c r="H46">
        <v>70.713051497992197</v>
      </c>
      <c r="I46" t="str">
        <f t="shared" si="0"/>
        <v>bottle</v>
      </c>
      <c r="J46" t="s">
        <v>982</v>
      </c>
    </row>
    <row r="47" spans="1:10" x14ac:dyDescent="0.2">
      <c r="A47" s="3" t="s">
        <v>451</v>
      </c>
      <c r="B47">
        <v>48.8740234375</v>
      </c>
      <c r="C47">
        <v>124.299158790737</v>
      </c>
      <c r="D47">
        <v>26.031636436941501</v>
      </c>
      <c r="E47">
        <v>34.887241711342597</v>
      </c>
      <c r="F47">
        <v>0.95442546412161</v>
      </c>
      <c r="G47">
        <v>78.061749802815697</v>
      </c>
      <c r="H47">
        <v>68.663159470694197</v>
      </c>
      <c r="I47" t="str">
        <f t="shared" si="0"/>
        <v>bottle</v>
      </c>
      <c r="J47" t="s">
        <v>982</v>
      </c>
    </row>
    <row r="48" spans="1:10" x14ac:dyDescent="0.2">
      <c r="A48" s="3" t="s">
        <v>452</v>
      </c>
      <c r="B48">
        <v>43.6171875</v>
      </c>
      <c r="C48">
        <v>139.27995701235901</v>
      </c>
      <c r="D48">
        <v>25.446212986739798</v>
      </c>
      <c r="E48">
        <v>34.3058911634308</v>
      </c>
      <c r="F48">
        <v>0.94962102845020502</v>
      </c>
      <c r="G48">
        <v>76.781288493009598</v>
      </c>
      <c r="H48">
        <v>66.603992921659497</v>
      </c>
      <c r="I48" t="str">
        <f t="shared" si="0"/>
        <v>bottle</v>
      </c>
      <c r="J48" t="s">
        <v>982</v>
      </c>
    </row>
    <row r="49" spans="1:10" x14ac:dyDescent="0.2">
      <c r="A49" s="3" t="s">
        <v>453</v>
      </c>
      <c r="B49">
        <v>38.779296875</v>
      </c>
      <c r="C49">
        <v>156.655754218081</v>
      </c>
      <c r="D49">
        <v>24.852840224259499</v>
      </c>
      <c r="E49">
        <v>33.711874423978301</v>
      </c>
      <c r="F49">
        <v>0.94420680986274297</v>
      </c>
      <c r="G49">
        <v>75.419790430403495</v>
      </c>
      <c r="H49">
        <v>64.402562035284703</v>
      </c>
      <c r="I49" t="str">
        <f t="shared" si="0"/>
        <v>bottle</v>
      </c>
      <c r="J49" t="s">
        <v>982</v>
      </c>
    </row>
    <row r="50" spans="1:10" x14ac:dyDescent="0.2">
      <c r="A50" s="3" t="s">
        <v>358</v>
      </c>
      <c r="B50">
        <v>420.109375</v>
      </c>
      <c r="C50">
        <v>14.4605199538811</v>
      </c>
      <c r="D50">
        <v>34.094577580461802</v>
      </c>
      <c r="E50">
        <v>39.416083472710298</v>
      </c>
      <c r="F50">
        <v>0.98402390520923899</v>
      </c>
      <c r="G50">
        <v>87.296495186300902</v>
      </c>
      <c r="H50">
        <v>83.892423666463898</v>
      </c>
      <c r="I50" t="str">
        <f t="shared" si="0"/>
        <v>building</v>
      </c>
      <c r="J50" t="s">
        <v>982</v>
      </c>
    </row>
    <row r="51" spans="1:10" x14ac:dyDescent="0.2">
      <c r="A51" s="3" t="s">
        <v>359</v>
      </c>
      <c r="B51">
        <v>379.3955078125</v>
      </c>
      <c r="C51">
        <v>16.012313996617799</v>
      </c>
      <c r="D51">
        <v>33.379206250608398</v>
      </c>
      <c r="E51">
        <v>38.701227769114404</v>
      </c>
      <c r="F51">
        <v>0.981766106703029</v>
      </c>
      <c r="G51">
        <v>85.877106543000195</v>
      </c>
      <c r="H51">
        <v>82.5576290457157</v>
      </c>
      <c r="I51" t="str">
        <f t="shared" si="0"/>
        <v>building</v>
      </c>
      <c r="J51" t="s">
        <v>982</v>
      </c>
    </row>
    <row r="52" spans="1:10" x14ac:dyDescent="0.2">
      <c r="A52" s="3" t="s">
        <v>360</v>
      </c>
      <c r="B52">
        <v>340.900390625</v>
      </c>
      <c r="C52">
        <v>17.820454792856701</v>
      </c>
      <c r="D52">
        <v>32.665282618324603</v>
      </c>
      <c r="E52">
        <v>37.9877565549777</v>
      </c>
      <c r="F52">
        <v>0.97919072761519299</v>
      </c>
      <c r="G52">
        <v>84.453598395394394</v>
      </c>
      <c r="H52">
        <v>81.073139610165796</v>
      </c>
      <c r="I52" t="str">
        <f t="shared" si="0"/>
        <v>building</v>
      </c>
      <c r="J52" t="s">
        <v>982</v>
      </c>
    </row>
    <row r="53" spans="1:10" x14ac:dyDescent="0.2">
      <c r="A53" s="3" t="s">
        <v>361</v>
      </c>
      <c r="B53">
        <v>305.65625</v>
      </c>
      <c r="C53">
        <v>19.875268377466501</v>
      </c>
      <c r="D53">
        <v>31.9702089357604</v>
      </c>
      <c r="E53">
        <v>37.2935926083628</v>
      </c>
      <c r="F53">
        <v>0.97626113294265504</v>
      </c>
      <c r="G53">
        <v>83.058795637693805</v>
      </c>
      <c r="H53">
        <v>79.432433919460706</v>
      </c>
      <c r="I53" t="str">
        <f t="shared" si="0"/>
        <v>building</v>
      </c>
      <c r="J53" t="s">
        <v>982</v>
      </c>
    </row>
    <row r="54" spans="1:10" x14ac:dyDescent="0.2">
      <c r="A54" s="3" t="s">
        <v>362</v>
      </c>
      <c r="B54">
        <v>272.7080078125</v>
      </c>
      <c r="C54">
        <v>22.276573573068099</v>
      </c>
      <c r="D54">
        <v>31.2670027904976</v>
      </c>
      <c r="E54">
        <v>36.591497884579901</v>
      </c>
      <c r="F54">
        <v>0.97277526320237795</v>
      </c>
      <c r="G54">
        <v>81.633435970580607</v>
      </c>
      <c r="H54">
        <v>77.544584339823601</v>
      </c>
      <c r="I54" t="str">
        <f t="shared" si="0"/>
        <v>building</v>
      </c>
      <c r="J54" t="s">
        <v>982</v>
      </c>
    </row>
    <row r="55" spans="1:10" x14ac:dyDescent="0.2">
      <c r="A55" s="3" t="s">
        <v>363</v>
      </c>
      <c r="B55">
        <v>242.9951171875</v>
      </c>
      <c r="C55">
        <v>25.0005023570593</v>
      </c>
      <c r="D55">
        <v>30.561493596834602</v>
      </c>
      <c r="E55">
        <v>35.886231128643303</v>
      </c>
      <c r="F55">
        <v>0.96883124040357205</v>
      </c>
      <c r="G55">
        <v>80.179737597233199</v>
      </c>
      <c r="H55">
        <v>75.489905516117503</v>
      </c>
      <c r="I55" t="str">
        <f t="shared" si="0"/>
        <v>building</v>
      </c>
      <c r="J55" t="s">
        <v>982</v>
      </c>
    </row>
    <row r="56" spans="1:10" x14ac:dyDescent="0.2">
      <c r="A56" s="3" t="s">
        <v>364</v>
      </c>
      <c r="B56">
        <v>215.8125</v>
      </c>
      <c r="C56">
        <v>28.149435273675099</v>
      </c>
      <c r="D56">
        <v>29.886052674704299</v>
      </c>
      <c r="E56">
        <v>35.211745336410502</v>
      </c>
      <c r="F56">
        <v>0.96441147260459303</v>
      </c>
      <c r="G56">
        <v>78.759355917337203</v>
      </c>
      <c r="H56">
        <v>73.285637706643698</v>
      </c>
      <c r="I56" t="str">
        <f t="shared" si="0"/>
        <v>building</v>
      </c>
      <c r="J56" t="s">
        <v>982</v>
      </c>
    </row>
    <row r="57" spans="1:10" x14ac:dyDescent="0.2">
      <c r="A57" s="3" t="s">
        <v>365</v>
      </c>
      <c r="B57">
        <v>190.6748046875</v>
      </c>
      <c r="C57">
        <v>31.860528243133199</v>
      </c>
      <c r="D57">
        <v>29.2160783676674</v>
      </c>
      <c r="E57">
        <v>34.543016638942397</v>
      </c>
      <c r="F57">
        <v>0.95960909842162201</v>
      </c>
      <c r="G57">
        <v>77.308913732588906</v>
      </c>
      <c r="H57">
        <v>71.002782348617998</v>
      </c>
      <c r="I57" t="str">
        <f t="shared" si="0"/>
        <v>building</v>
      </c>
      <c r="J57" t="s">
        <v>982</v>
      </c>
    </row>
    <row r="58" spans="1:10" x14ac:dyDescent="0.2">
      <c r="A58" s="3" t="s">
        <v>366</v>
      </c>
      <c r="B58">
        <v>167.90625</v>
      </c>
      <c r="C58">
        <v>36.180904522613098</v>
      </c>
      <c r="D58">
        <v>28.551112770550301</v>
      </c>
      <c r="E58">
        <v>33.877830329075898</v>
      </c>
      <c r="F58">
        <v>0.95379942253517602</v>
      </c>
      <c r="G58">
        <v>75.806567107190304</v>
      </c>
      <c r="H58">
        <v>68.389008249977195</v>
      </c>
      <c r="I58" t="str">
        <f t="shared" si="0"/>
        <v>building</v>
      </c>
      <c r="J58" t="s">
        <v>982</v>
      </c>
    </row>
    <row r="59" spans="1:10" x14ac:dyDescent="0.2">
      <c r="A59" s="3" t="s">
        <v>367</v>
      </c>
      <c r="B59">
        <v>147.244140625</v>
      </c>
      <c r="C59">
        <v>41.258008462773098</v>
      </c>
      <c r="D59">
        <v>27.896492668408701</v>
      </c>
      <c r="E59">
        <v>33.224073984424301</v>
      </c>
      <c r="F59">
        <v>0.94737847621307503</v>
      </c>
      <c r="G59">
        <v>74.248409247119099</v>
      </c>
      <c r="H59">
        <v>65.677252920524793</v>
      </c>
      <c r="I59" t="str">
        <f t="shared" si="0"/>
        <v>building</v>
      </c>
      <c r="J59" t="s">
        <v>982</v>
      </c>
    </row>
    <row r="60" spans="1:10" x14ac:dyDescent="0.2">
      <c r="A60" s="3" t="s">
        <v>368</v>
      </c>
      <c r="B60">
        <v>128.640625</v>
      </c>
      <c r="C60">
        <v>47.224583991254697</v>
      </c>
      <c r="D60">
        <v>27.2686266372076</v>
      </c>
      <c r="E60">
        <v>32.598455153107601</v>
      </c>
      <c r="F60">
        <v>0.94048355484090396</v>
      </c>
      <c r="G60">
        <v>72.652867491787404</v>
      </c>
      <c r="H60">
        <v>62.958233126259302</v>
      </c>
      <c r="I60" t="str">
        <f t="shared" si="0"/>
        <v>building</v>
      </c>
      <c r="J60" t="s">
        <v>982</v>
      </c>
    </row>
    <row r="61" spans="1:10" x14ac:dyDescent="0.2">
      <c r="A61" s="3" t="s">
        <v>369</v>
      </c>
      <c r="B61">
        <v>111.701171875</v>
      </c>
      <c r="C61">
        <v>54.386179643650202</v>
      </c>
      <c r="D61">
        <v>26.655614400810599</v>
      </c>
      <c r="E61">
        <v>31.986108923100499</v>
      </c>
      <c r="F61">
        <v>0.93270065463362695</v>
      </c>
      <c r="G61">
        <v>70.958636357291994</v>
      </c>
      <c r="H61">
        <v>60.111060221997597</v>
      </c>
      <c r="I61" t="str">
        <f t="shared" si="0"/>
        <v>building</v>
      </c>
      <c r="J61" t="s">
        <v>982</v>
      </c>
    </row>
    <row r="62" spans="1:10" x14ac:dyDescent="0.2">
      <c r="A62" s="3" t="s">
        <v>370</v>
      </c>
      <c r="B62">
        <v>96.9833984375</v>
      </c>
      <c r="C62">
        <v>62.639586752726302</v>
      </c>
      <c r="D62">
        <v>26.0685432814584</v>
      </c>
      <c r="E62">
        <v>31.4003991238786</v>
      </c>
      <c r="F62">
        <v>0.92437086321175899</v>
      </c>
      <c r="G62">
        <v>69.179593055374795</v>
      </c>
      <c r="H62">
        <v>57.303308938019697</v>
      </c>
      <c r="I62" t="str">
        <f t="shared" si="0"/>
        <v>building</v>
      </c>
      <c r="J62" t="s">
        <v>982</v>
      </c>
    </row>
    <row r="63" spans="1:10" x14ac:dyDescent="0.2">
      <c r="A63" s="3" t="s">
        <v>371</v>
      </c>
      <c r="B63">
        <v>84.443359375</v>
      </c>
      <c r="C63">
        <v>71.941713889210106</v>
      </c>
      <c r="D63">
        <v>25.516750699511899</v>
      </c>
      <c r="E63">
        <v>30.847278772452299</v>
      </c>
      <c r="F63">
        <v>0.91578513938231398</v>
      </c>
      <c r="G63">
        <v>67.323488399697396</v>
      </c>
      <c r="H63">
        <v>54.645597077603</v>
      </c>
      <c r="I63" t="str">
        <f t="shared" si="0"/>
        <v>building</v>
      </c>
      <c r="J63" t="s">
        <v>982</v>
      </c>
    </row>
    <row r="64" spans="1:10" x14ac:dyDescent="0.2">
      <c r="A64" s="3" t="s">
        <v>372</v>
      </c>
      <c r="B64">
        <v>72.8857421875</v>
      </c>
      <c r="C64">
        <v>83.349634889797002</v>
      </c>
      <c r="D64">
        <v>24.9542845079642</v>
      </c>
      <c r="E64">
        <v>30.287550225599901</v>
      </c>
      <c r="F64">
        <v>0.90581715228537496</v>
      </c>
      <c r="G64">
        <v>65.240086314013496</v>
      </c>
      <c r="H64">
        <v>51.832061305044398</v>
      </c>
      <c r="I64" t="str">
        <f t="shared" si="0"/>
        <v>building</v>
      </c>
      <c r="J64" t="s">
        <v>982</v>
      </c>
    </row>
    <row r="65" spans="1:10" x14ac:dyDescent="0.2">
      <c r="A65" s="3" t="s">
        <v>373</v>
      </c>
      <c r="B65">
        <v>62.568359375</v>
      </c>
      <c r="C65">
        <v>97.093803652255303</v>
      </c>
      <c r="D65">
        <v>24.403073504239899</v>
      </c>
      <c r="E65">
        <v>29.737936137105599</v>
      </c>
      <c r="F65">
        <v>0.89483737359576099</v>
      </c>
      <c r="G65">
        <v>62.971283721952801</v>
      </c>
      <c r="H65">
        <v>49.0356577045238</v>
      </c>
      <c r="I65" t="str">
        <f t="shared" si="0"/>
        <v>building</v>
      </c>
      <c r="J65" t="s">
        <v>982</v>
      </c>
    </row>
    <row r="66" spans="1:10" x14ac:dyDescent="0.2">
      <c r="A66" s="3" t="s">
        <v>454</v>
      </c>
      <c r="B66">
        <v>288.560546875</v>
      </c>
      <c r="C66">
        <v>21.0527740738986</v>
      </c>
      <c r="D66">
        <v>34.636897291594202</v>
      </c>
      <c r="E66">
        <v>41.196224318491197</v>
      </c>
      <c r="F66">
        <v>0.97113882905814297</v>
      </c>
      <c r="G66">
        <v>90.814264591823502</v>
      </c>
      <c r="H66">
        <v>76.681784208303299</v>
      </c>
      <c r="I66" t="str">
        <f t="shared" si="0"/>
        <v>camera</v>
      </c>
      <c r="J66" t="s">
        <v>982</v>
      </c>
    </row>
    <row r="67" spans="1:10" x14ac:dyDescent="0.2">
      <c r="A67" s="3" t="s">
        <v>455</v>
      </c>
      <c r="B67">
        <v>244.3427734375</v>
      </c>
      <c r="C67">
        <v>24.862613755810202</v>
      </c>
      <c r="D67">
        <v>34.020353482663701</v>
      </c>
      <c r="E67">
        <v>40.5798556654969</v>
      </c>
      <c r="F67">
        <v>0.96682916876315395</v>
      </c>
      <c r="G67">
        <v>89.598111389332203</v>
      </c>
      <c r="H67">
        <v>74.478823678317397</v>
      </c>
      <c r="I67" t="str">
        <f t="shared" ref="I67:I130" si="1">MID(A67,1,(FIND("yuv",A67))-1)</f>
        <v>camera</v>
      </c>
      <c r="J67" t="s">
        <v>982</v>
      </c>
    </row>
    <row r="68" spans="1:10" x14ac:dyDescent="0.2">
      <c r="A68" s="3" t="s">
        <v>456</v>
      </c>
      <c r="B68">
        <v>202.9072265625</v>
      </c>
      <c r="C68">
        <v>29.9397912184698</v>
      </c>
      <c r="D68">
        <v>33.437142275100904</v>
      </c>
      <c r="E68">
        <v>39.9978701032801</v>
      </c>
      <c r="F68">
        <v>0.96226111201109199</v>
      </c>
      <c r="G68">
        <v>88.448196188971906</v>
      </c>
      <c r="H68">
        <v>72.249335083099098</v>
      </c>
      <c r="I68" t="str">
        <f t="shared" si="1"/>
        <v>camera</v>
      </c>
      <c r="J68" t="s">
        <v>982</v>
      </c>
    </row>
    <row r="69" spans="1:10" x14ac:dyDescent="0.2">
      <c r="A69" s="3" t="s">
        <v>457</v>
      </c>
      <c r="B69">
        <v>165.189453125</v>
      </c>
      <c r="C69">
        <v>36.775955638057603</v>
      </c>
      <c r="D69">
        <v>32.900069369420798</v>
      </c>
      <c r="E69">
        <v>39.460518670384403</v>
      </c>
      <c r="F69">
        <v>0.95754492599154795</v>
      </c>
      <c r="G69">
        <v>87.384553179176095</v>
      </c>
      <c r="H69">
        <v>70.056025607396407</v>
      </c>
      <c r="I69" t="str">
        <f t="shared" si="1"/>
        <v>camera</v>
      </c>
      <c r="J69" t="s">
        <v>982</v>
      </c>
    </row>
    <row r="70" spans="1:10" x14ac:dyDescent="0.2">
      <c r="A70" s="3" t="s">
        <v>458</v>
      </c>
      <c r="B70">
        <v>132.07421875</v>
      </c>
      <c r="C70">
        <v>45.996864925615903</v>
      </c>
      <c r="D70">
        <v>32.406863351533502</v>
      </c>
      <c r="E70">
        <v>38.967940896510299</v>
      </c>
      <c r="F70">
        <v>0.95306684646976303</v>
      </c>
      <c r="G70">
        <v>86.407344237685194</v>
      </c>
      <c r="H70">
        <v>68.070451283919297</v>
      </c>
      <c r="I70" t="str">
        <f t="shared" si="1"/>
        <v>camera</v>
      </c>
      <c r="J70" t="s">
        <v>982</v>
      </c>
    </row>
    <row r="71" spans="1:10" x14ac:dyDescent="0.2">
      <c r="A71" s="3" t="s">
        <v>459</v>
      </c>
      <c r="B71">
        <v>106.9833984375</v>
      </c>
      <c r="C71">
        <v>56.784511323493199</v>
      </c>
      <c r="D71">
        <v>32.000048612873101</v>
      </c>
      <c r="E71">
        <v>38.561528418329999</v>
      </c>
      <c r="F71">
        <v>0.94933201339533801</v>
      </c>
      <c r="G71">
        <v>85.599008836786794</v>
      </c>
      <c r="H71">
        <v>66.483350345645903</v>
      </c>
      <c r="I71" t="str">
        <f t="shared" si="1"/>
        <v>camera</v>
      </c>
      <c r="J71" t="s">
        <v>982</v>
      </c>
    </row>
    <row r="72" spans="1:10" x14ac:dyDescent="0.2">
      <c r="A72" s="3" t="s">
        <v>460</v>
      </c>
      <c r="B72">
        <v>86.2431640625</v>
      </c>
      <c r="C72">
        <v>70.440365518100407</v>
      </c>
      <c r="D72">
        <v>31.601180176005801</v>
      </c>
      <c r="E72">
        <v>38.162560982445903</v>
      </c>
      <c r="F72">
        <v>0.94557506370392896</v>
      </c>
      <c r="G72">
        <v>84.803161647371098</v>
      </c>
      <c r="H72">
        <v>64.947365341122605</v>
      </c>
      <c r="I72" t="str">
        <f t="shared" si="1"/>
        <v>camera</v>
      </c>
      <c r="J72" t="s">
        <v>982</v>
      </c>
    </row>
    <row r="73" spans="1:10" x14ac:dyDescent="0.2">
      <c r="A73" s="3" t="s">
        <v>461</v>
      </c>
      <c r="B73">
        <v>70.90234375</v>
      </c>
      <c r="C73">
        <v>85.6812296843149</v>
      </c>
      <c r="D73">
        <v>31.246423194768401</v>
      </c>
      <c r="E73">
        <v>37.808545843492801</v>
      </c>
      <c r="F73">
        <v>0.94238715831526898</v>
      </c>
      <c r="G73">
        <v>84.094591251122196</v>
      </c>
      <c r="H73">
        <v>63.689787530740396</v>
      </c>
      <c r="I73" t="str">
        <f t="shared" si="1"/>
        <v>camera</v>
      </c>
      <c r="J73" t="s">
        <v>982</v>
      </c>
    </row>
    <row r="74" spans="1:10" x14ac:dyDescent="0.2">
      <c r="A74" s="3" t="s">
        <v>462</v>
      </c>
      <c r="B74">
        <v>58.9287109375</v>
      </c>
      <c r="C74">
        <v>103.09066503157</v>
      </c>
      <c r="D74">
        <v>30.899849096080001</v>
      </c>
      <c r="E74">
        <v>37.463379967358499</v>
      </c>
      <c r="F74">
        <v>0.93944179241513004</v>
      </c>
      <c r="G74">
        <v>83.401071654483005</v>
      </c>
      <c r="H74">
        <v>62.563883385707001</v>
      </c>
      <c r="I74" t="str">
        <f t="shared" si="1"/>
        <v>camera</v>
      </c>
      <c r="J74" t="s">
        <v>982</v>
      </c>
    </row>
    <row r="75" spans="1:10" x14ac:dyDescent="0.2">
      <c r="A75" s="3" t="s">
        <v>463</v>
      </c>
      <c r="B75">
        <v>50.361328125</v>
      </c>
      <c r="C75">
        <v>120.628272251309</v>
      </c>
      <c r="D75">
        <v>30.553410359095501</v>
      </c>
      <c r="E75">
        <v>37.115209285620203</v>
      </c>
      <c r="F75">
        <v>0.936564776113465</v>
      </c>
      <c r="G75">
        <v>82.698275321772698</v>
      </c>
      <c r="H75">
        <v>61.496388048789903</v>
      </c>
      <c r="I75" t="str">
        <f t="shared" si="1"/>
        <v>camera</v>
      </c>
      <c r="J75" t="s">
        <v>982</v>
      </c>
    </row>
    <row r="76" spans="1:10" x14ac:dyDescent="0.2">
      <c r="A76" s="3" t="s">
        <v>464</v>
      </c>
      <c r="B76">
        <v>43.849609375</v>
      </c>
      <c r="C76">
        <v>138.54171306400599</v>
      </c>
      <c r="D76">
        <v>30.221486169261802</v>
      </c>
      <c r="E76">
        <v>36.784694538438799</v>
      </c>
      <c r="F76">
        <v>0.93362251652146999</v>
      </c>
      <c r="G76">
        <v>82.027473448511202</v>
      </c>
      <c r="H76">
        <v>60.436623318164301</v>
      </c>
      <c r="I76" t="str">
        <f t="shared" si="1"/>
        <v>camera</v>
      </c>
      <c r="J76" t="s">
        <v>982</v>
      </c>
    </row>
    <row r="77" spans="1:10" x14ac:dyDescent="0.2">
      <c r="A77" s="3" t="s">
        <v>465</v>
      </c>
      <c r="B77">
        <v>38.8173828125</v>
      </c>
      <c r="C77">
        <v>156.502050366047</v>
      </c>
      <c r="D77">
        <v>29.873815171027001</v>
      </c>
      <c r="E77">
        <v>36.437806664692403</v>
      </c>
      <c r="F77">
        <v>0.93043887596777297</v>
      </c>
      <c r="G77">
        <v>81.318819063685496</v>
      </c>
      <c r="H77">
        <v>59.3250973176198</v>
      </c>
      <c r="I77" t="str">
        <f t="shared" si="1"/>
        <v>camera</v>
      </c>
      <c r="J77" t="s">
        <v>982</v>
      </c>
    </row>
    <row r="78" spans="1:10" x14ac:dyDescent="0.2">
      <c r="A78" s="3" t="s">
        <v>466</v>
      </c>
      <c r="B78">
        <v>34.1494140625</v>
      </c>
      <c r="C78">
        <v>177.894706740256</v>
      </c>
      <c r="D78">
        <v>29.519283255707499</v>
      </c>
      <c r="E78">
        <v>36.083631001294698</v>
      </c>
      <c r="F78">
        <v>0.92729355696814897</v>
      </c>
      <c r="G78">
        <v>80.589360577444097</v>
      </c>
      <c r="H78">
        <v>58.261640183475897</v>
      </c>
      <c r="I78" t="str">
        <f t="shared" si="1"/>
        <v>camera</v>
      </c>
      <c r="J78" t="s">
        <v>982</v>
      </c>
    </row>
    <row r="79" spans="1:10" x14ac:dyDescent="0.2">
      <c r="A79" s="3" t="s">
        <v>467</v>
      </c>
      <c r="B79">
        <v>30.3681640625</v>
      </c>
      <c r="C79">
        <v>200.045020419976</v>
      </c>
      <c r="D79">
        <v>29.126327667048798</v>
      </c>
      <c r="E79">
        <v>35.690597513360999</v>
      </c>
      <c r="F79">
        <v>0.92343838884097496</v>
      </c>
      <c r="G79">
        <v>79.7713035520202</v>
      </c>
      <c r="H79">
        <v>57.003451630952199</v>
      </c>
      <c r="I79" t="str">
        <f t="shared" si="1"/>
        <v>camera</v>
      </c>
      <c r="J79" t="s">
        <v>982</v>
      </c>
    </row>
    <row r="80" spans="1:10" x14ac:dyDescent="0.2">
      <c r="A80" s="3" t="s">
        <v>468</v>
      </c>
      <c r="B80">
        <v>27.1640625</v>
      </c>
      <c r="C80">
        <v>223.64106988783399</v>
      </c>
      <c r="D80">
        <v>28.740741341402501</v>
      </c>
      <c r="E80">
        <v>35.306341169285197</v>
      </c>
      <c r="F80">
        <v>0.91955894475119204</v>
      </c>
      <c r="G80">
        <v>78.960789870832102</v>
      </c>
      <c r="H80">
        <v>55.7856685242418</v>
      </c>
      <c r="I80" t="str">
        <f t="shared" si="1"/>
        <v>camera</v>
      </c>
      <c r="J80" t="s">
        <v>982</v>
      </c>
    </row>
    <row r="81" spans="1:10" x14ac:dyDescent="0.2">
      <c r="A81" s="3" t="s">
        <v>469</v>
      </c>
      <c r="B81">
        <v>24.4013671875</v>
      </c>
      <c r="C81">
        <v>248.961459959179</v>
      </c>
      <c r="D81">
        <v>28.396968037545999</v>
      </c>
      <c r="E81">
        <v>34.958439858288102</v>
      </c>
      <c r="F81">
        <v>0.91603441416460096</v>
      </c>
      <c r="G81">
        <v>78.215740666324393</v>
      </c>
      <c r="H81">
        <v>54.7195854277088</v>
      </c>
      <c r="I81" t="str">
        <f t="shared" si="1"/>
        <v>camera</v>
      </c>
      <c r="J81" t="s">
        <v>982</v>
      </c>
    </row>
    <row r="82" spans="1:10" x14ac:dyDescent="0.2">
      <c r="A82" s="3" t="s">
        <v>374</v>
      </c>
      <c r="B82">
        <v>214.2265625</v>
      </c>
      <c r="C82">
        <v>28.3578279420882</v>
      </c>
      <c r="D82">
        <v>32.293970048037004</v>
      </c>
      <c r="E82">
        <v>42.774680048005202</v>
      </c>
      <c r="F82">
        <v>0.99027768653801196</v>
      </c>
      <c r="G82">
        <v>93.923888873739401</v>
      </c>
      <c r="H82">
        <v>87.758935262198506</v>
      </c>
      <c r="I82" t="str">
        <f t="shared" si="1"/>
        <v>character</v>
      </c>
      <c r="J82" t="s">
        <v>982</v>
      </c>
    </row>
    <row r="83" spans="1:10" x14ac:dyDescent="0.2">
      <c r="A83" s="3" t="s">
        <v>375</v>
      </c>
      <c r="B83">
        <v>170.521484375</v>
      </c>
      <c r="C83">
        <v>35.626009369237302</v>
      </c>
      <c r="D83">
        <v>31.8223184638187</v>
      </c>
      <c r="E83">
        <v>42.302733924140199</v>
      </c>
      <c r="F83">
        <v>0.98953306762802296</v>
      </c>
      <c r="G83">
        <v>92.994650940956106</v>
      </c>
      <c r="H83">
        <v>87.285148740285393</v>
      </c>
      <c r="I83" t="str">
        <f t="shared" si="1"/>
        <v>character</v>
      </c>
      <c r="J83" t="s">
        <v>982</v>
      </c>
    </row>
    <row r="84" spans="1:10" x14ac:dyDescent="0.2">
      <c r="A84" s="3" t="s">
        <v>376</v>
      </c>
      <c r="B84">
        <v>134.1630859375</v>
      </c>
      <c r="C84">
        <v>45.2807115873143</v>
      </c>
      <c r="D84">
        <v>31.3874827127778</v>
      </c>
      <c r="E84">
        <v>41.868847440181298</v>
      </c>
      <c r="F84">
        <v>0.98883700969047295</v>
      </c>
      <c r="G84">
        <v>92.140013053371305</v>
      </c>
      <c r="H84">
        <v>86.845595365582994</v>
      </c>
      <c r="I84" t="str">
        <f t="shared" si="1"/>
        <v>character</v>
      </c>
      <c r="J84" t="s">
        <v>982</v>
      </c>
    </row>
    <row r="85" spans="1:10" x14ac:dyDescent="0.2">
      <c r="A85" s="3" t="s">
        <v>377</v>
      </c>
      <c r="B85">
        <v>108.0673828125</v>
      </c>
      <c r="C85">
        <v>56.214926667931799</v>
      </c>
      <c r="D85">
        <v>31.017931537290199</v>
      </c>
      <c r="E85">
        <v>41.499080816219397</v>
      </c>
      <c r="F85">
        <v>0.98835598367948096</v>
      </c>
      <c r="G85">
        <v>91.411349173697104</v>
      </c>
      <c r="H85">
        <v>86.543702567400501</v>
      </c>
      <c r="I85" t="str">
        <f t="shared" si="1"/>
        <v>character</v>
      </c>
      <c r="J85" t="s">
        <v>982</v>
      </c>
    </row>
    <row r="86" spans="1:10" x14ac:dyDescent="0.2">
      <c r="A86" s="3" t="s">
        <v>378</v>
      </c>
      <c r="B86">
        <v>87.5927734375</v>
      </c>
      <c r="C86">
        <v>69.3550365126261</v>
      </c>
      <c r="D86">
        <v>30.651497835561798</v>
      </c>
      <c r="E86">
        <v>41.1310337912929</v>
      </c>
      <c r="F86">
        <v>0.98787329860304496</v>
      </c>
      <c r="G86">
        <v>90.685703763594702</v>
      </c>
      <c r="H86">
        <v>86.242295955667302</v>
      </c>
      <c r="I86" t="str">
        <f t="shared" si="1"/>
        <v>character</v>
      </c>
      <c r="J86" t="s">
        <v>982</v>
      </c>
    </row>
    <row r="87" spans="1:10" x14ac:dyDescent="0.2">
      <c r="A87" s="3" t="s">
        <v>379</v>
      </c>
      <c r="B87">
        <v>72.4599609375</v>
      </c>
      <c r="C87">
        <v>83.839404843731003</v>
      </c>
      <c r="D87">
        <v>30.303927369828099</v>
      </c>
      <c r="E87">
        <v>40.785682238522398</v>
      </c>
      <c r="F87">
        <v>0.98741091076050902</v>
      </c>
      <c r="G87">
        <v>90.004392666928496</v>
      </c>
      <c r="H87">
        <v>85.954991359203603</v>
      </c>
      <c r="I87" t="str">
        <f t="shared" si="1"/>
        <v>character</v>
      </c>
      <c r="J87" t="s">
        <v>982</v>
      </c>
    </row>
    <row r="88" spans="1:10" x14ac:dyDescent="0.2">
      <c r="A88" s="3" t="s">
        <v>380</v>
      </c>
      <c r="B88">
        <v>60.87890625</v>
      </c>
      <c r="C88">
        <v>99.788257940327199</v>
      </c>
      <c r="D88">
        <v>29.940433537532002</v>
      </c>
      <c r="E88">
        <v>40.421416947361998</v>
      </c>
      <c r="F88">
        <v>0.98685087943677696</v>
      </c>
      <c r="G88">
        <v>89.285237864219198</v>
      </c>
      <c r="H88">
        <v>85.608876717073599</v>
      </c>
      <c r="I88" t="str">
        <f t="shared" si="1"/>
        <v>character</v>
      </c>
      <c r="J88" t="s">
        <v>982</v>
      </c>
    </row>
    <row r="89" spans="1:10" x14ac:dyDescent="0.2">
      <c r="A89" s="3" t="s">
        <v>381</v>
      </c>
      <c r="B89">
        <v>52.3154296875</v>
      </c>
      <c r="C89">
        <v>116.122528980232</v>
      </c>
      <c r="D89">
        <v>29.596755334214901</v>
      </c>
      <c r="E89">
        <v>40.078674605049002</v>
      </c>
      <c r="F89">
        <v>0.98628059214810604</v>
      </c>
      <c r="G89">
        <v>88.607967854749106</v>
      </c>
      <c r="H89">
        <v>85.258506564437297</v>
      </c>
      <c r="I89" t="str">
        <f t="shared" si="1"/>
        <v>character</v>
      </c>
      <c r="J89" t="s">
        <v>982</v>
      </c>
    </row>
    <row r="90" spans="1:10" x14ac:dyDescent="0.2">
      <c r="A90" s="3" t="s">
        <v>382</v>
      </c>
      <c r="B90">
        <v>45.369140625</v>
      </c>
      <c r="C90">
        <v>133.901588531577</v>
      </c>
      <c r="D90">
        <v>29.234016972995001</v>
      </c>
      <c r="E90">
        <v>39.716598835206398</v>
      </c>
      <c r="F90">
        <v>0.98573981335898397</v>
      </c>
      <c r="G90">
        <v>87.891711537086195</v>
      </c>
      <c r="H90">
        <v>84.928195746364295</v>
      </c>
      <c r="I90" t="str">
        <f t="shared" si="1"/>
        <v>character</v>
      </c>
      <c r="J90" t="s">
        <v>982</v>
      </c>
    </row>
    <row r="91" spans="1:10" x14ac:dyDescent="0.2">
      <c r="A91" s="3" t="s">
        <v>383</v>
      </c>
      <c r="B91">
        <v>39.7548828125</v>
      </c>
      <c r="C91">
        <v>152.811417622639</v>
      </c>
      <c r="D91">
        <v>28.861609731827802</v>
      </c>
      <c r="E91">
        <v>39.344102836262699</v>
      </c>
      <c r="F91">
        <v>0.98512940902707702</v>
      </c>
      <c r="G91">
        <v>87.153812550213004</v>
      </c>
      <c r="H91">
        <v>84.557600699554101</v>
      </c>
      <c r="I91" t="str">
        <f t="shared" si="1"/>
        <v>character</v>
      </c>
      <c r="J91" t="s">
        <v>982</v>
      </c>
    </row>
    <row r="92" spans="1:10" x14ac:dyDescent="0.2">
      <c r="A92" s="3" t="s">
        <v>384</v>
      </c>
      <c r="B92">
        <v>34.541015625</v>
      </c>
      <c r="C92">
        <v>175.87786259542</v>
      </c>
      <c r="D92">
        <v>28.4867195564448</v>
      </c>
      <c r="E92">
        <v>38.970265039722399</v>
      </c>
      <c r="F92">
        <v>0.98445947278470303</v>
      </c>
      <c r="G92">
        <v>86.411960977346197</v>
      </c>
      <c r="H92">
        <v>84.153582866753993</v>
      </c>
      <c r="I92" t="str">
        <f t="shared" si="1"/>
        <v>character</v>
      </c>
      <c r="J92" t="s">
        <v>982</v>
      </c>
    </row>
    <row r="93" spans="1:10" x14ac:dyDescent="0.2">
      <c r="A93" s="3" t="s">
        <v>385</v>
      </c>
      <c r="B93">
        <v>29.8798828125</v>
      </c>
      <c r="C93">
        <v>203.31405039709799</v>
      </c>
      <c r="D93">
        <v>28.101549663148599</v>
      </c>
      <c r="E93">
        <v>38.585632462590802</v>
      </c>
      <c r="F93">
        <v>0.98367972573284801</v>
      </c>
      <c r="G93">
        <v>85.647011898300093</v>
      </c>
      <c r="H93">
        <v>83.686901045658502</v>
      </c>
      <c r="I93" t="str">
        <f t="shared" si="1"/>
        <v>character</v>
      </c>
      <c r="J93" t="s">
        <v>982</v>
      </c>
    </row>
    <row r="94" spans="1:10" x14ac:dyDescent="0.2">
      <c r="A94" s="3" t="s">
        <v>386</v>
      </c>
      <c r="B94">
        <v>26.5068359375</v>
      </c>
      <c r="C94">
        <v>229.18616217809401</v>
      </c>
      <c r="D94">
        <v>27.728499216969599</v>
      </c>
      <c r="E94">
        <v>38.2125430555446</v>
      </c>
      <c r="F94">
        <v>0.98272367678707795</v>
      </c>
      <c r="G94">
        <v>84.903008988035793</v>
      </c>
      <c r="H94">
        <v>83.119882946306504</v>
      </c>
      <c r="I94" t="str">
        <f t="shared" si="1"/>
        <v>character</v>
      </c>
      <c r="J94" t="s">
        <v>982</v>
      </c>
    </row>
    <row r="95" spans="1:10" x14ac:dyDescent="0.2">
      <c r="A95" s="3" t="s">
        <v>387</v>
      </c>
      <c r="B95">
        <v>23.2255859375</v>
      </c>
      <c r="C95">
        <v>261.564983391498</v>
      </c>
      <c r="D95">
        <v>27.3578578317106</v>
      </c>
      <c r="E95">
        <v>37.8440584516391</v>
      </c>
      <c r="F95">
        <v>0.98205953606492102</v>
      </c>
      <c r="G95">
        <v>84.1657865135913</v>
      </c>
      <c r="H95">
        <v>82.729322047781594</v>
      </c>
      <c r="I95" t="str">
        <f t="shared" si="1"/>
        <v>character</v>
      </c>
      <c r="J95" t="s">
        <v>982</v>
      </c>
    </row>
    <row r="96" spans="1:10" x14ac:dyDescent="0.2">
      <c r="A96" s="3" t="s">
        <v>388</v>
      </c>
      <c r="B96">
        <v>20.482421875</v>
      </c>
      <c r="C96">
        <v>296.59578525793802</v>
      </c>
      <c r="D96">
        <v>26.9933637813586</v>
      </c>
      <c r="E96">
        <v>37.480163579437097</v>
      </c>
      <c r="F96">
        <v>0.98130016534442299</v>
      </c>
      <c r="G96">
        <v>83.434862809929001</v>
      </c>
      <c r="H96">
        <v>82.286077168656007</v>
      </c>
      <c r="I96" t="str">
        <f t="shared" si="1"/>
        <v>character</v>
      </c>
      <c r="J96" t="s">
        <v>982</v>
      </c>
    </row>
    <row r="97" spans="1:10" x14ac:dyDescent="0.2">
      <c r="A97" s="3" t="s">
        <v>389</v>
      </c>
      <c r="B97">
        <v>18.037109375</v>
      </c>
      <c r="C97">
        <v>336.80563075257197</v>
      </c>
      <c r="D97">
        <v>26.62726130571</v>
      </c>
      <c r="E97">
        <v>37.112248799796298</v>
      </c>
      <c r="F97">
        <v>0.98039554740106805</v>
      </c>
      <c r="G97">
        <v>82.692283606246207</v>
      </c>
      <c r="H97">
        <v>81.762633418567503</v>
      </c>
      <c r="I97" t="str">
        <f t="shared" si="1"/>
        <v>character</v>
      </c>
      <c r="J97" t="s">
        <v>982</v>
      </c>
    </row>
    <row r="98" spans="1:10" x14ac:dyDescent="0.2">
      <c r="A98" s="3" t="s">
        <v>646</v>
      </c>
      <c r="B98">
        <v>803.8759765625</v>
      </c>
      <c r="C98">
        <v>7.5571358979747796</v>
      </c>
      <c r="D98">
        <v>30.5279336316433</v>
      </c>
      <c r="E98">
        <v>36.861709533987899</v>
      </c>
      <c r="F98">
        <v>0.98360957267209104</v>
      </c>
      <c r="G98">
        <v>82.184134670724902</v>
      </c>
      <c r="H98">
        <v>83.645100886046293</v>
      </c>
      <c r="I98" t="str">
        <f t="shared" si="1"/>
        <v>concord</v>
      </c>
      <c r="J98" t="s">
        <v>982</v>
      </c>
    </row>
    <row r="99" spans="1:10" x14ac:dyDescent="0.2">
      <c r="A99" s="3" t="s">
        <v>647</v>
      </c>
      <c r="B99">
        <v>726.888671875</v>
      </c>
      <c r="C99">
        <v>8.3575384168934903</v>
      </c>
      <c r="D99">
        <v>29.720557827790199</v>
      </c>
      <c r="E99">
        <v>36.0551526261075</v>
      </c>
      <c r="F99">
        <v>0.98049415370574</v>
      </c>
      <c r="G99">
        <v>80.530410107375801</v>
      </c>
      <c r="H99">
        <v>81.819449917709306</v>
      </c>
      <c r="I99" t="str">
        <f t="shared" si="1"/>
        <v>concord</v>
      </c>
      <c r="J99" t="s">
        <v>982</v>
      </c>
    </row>
    <row r="100" spans="1:10" x14ac:dyDescent="0.2">
      <c r="A100" s="3" t="s">
        <v>648</v>
      </c>
      <c r="B100">
        <v>654.5380859375</v>
      </c>
      <c r="C100">
        <v>9.2813544857343597</v>
      </c>
      <c r="D100">
        <v>28.947734504918898</v>
      </c>
      <c r="E100">
        <v>35.284437248375603</v>
      </c>
      <c r="F100">
        <v>0.97695865491276002</v>
      </c>
      <c r="G100">
        <v>78.914219172170505</v>
      </c>
      <c r="H100">
        <v>79.818527159919299</v>
      </c>
      <c r="I100" t="str">
        <f t="shared" si="1"/>
        <v>concord</v>
      </c>
      <c r="J100" t="s">
        <v>982</v>
      </c>
    </row>
    <row r="101" spans="1:10" x14ac:dyDescent="0.2">
      <c r="A101" s="3" t="s">
        <v>649</v>
      </c>
      <c r="B101">
        <v>585.7490234375</v>
      </c>
      <c r="C101">
        <v>10.371336113116399</v>
      </c>
      <c r="D101">
        <v>28.1802762006139</v>
      </c>
      <c r="E101">
        <v>34.518237256218299</v>
      </c>
      <c r="F101">
        <v>0.97282147969187704</v>
      </c>
      <c r="G101">
        <v>77.254144303064905</v>
      </c>
      <c r="H101">
        <v>77.569166541913305</v>
      </c>
      <c r="I101" t="str">
        <f t="shared" si="1"/>
        <v>concord</v>
      </c>
      <c r="J101" t="s">
        <v>982</v>
      </c>
    </row>
    <row r="102" spans="1:10" x14ac:dyDescent="0.2">
      <c r="A102" s="3" t="s">
        <v>650</v>
      </c>
      <c r="B102">
        <v>521.71484375</v>
      </c>
      <c r="C102">
        <v>11.644292035729499</v>
      </c>
      <c r="D102">
        <v>27.4079327730819</v>
      </c>
      <c r="E102">
        <v>33.747247627082501</v>
      </c>
      <c r="F102">
        <v>0.968031048249828</v>
      </c>
      <c r="G102">
        <v>75.502688199803103</v>
      </c>
      <c r="H102">
        <v>75.083259772524301</v>
      </c>
      <c r="I102" t="str">
        <f t="shared" si="1"/>
        <v>concord</v>
      </c>
      <c r="J102" t="s">
        <v>982</v>
      </c>
    </row>
    <row r="103" spans="1:10" x14ac:dyDescent="0.2">
      <c r="A103" s="3" t="s">
        <v>651</v>
      </c>
      <c r="B103">
        <v>463.1572265625</v>
      </c>
      <c r="C103">
        <v>13.116496195229301</v>
      </c>
      <c r="D103">
        <v>26.6845653156795</v>
      </c>
      <c r="E103">
        <v>33.025869875501698</v>
      </c>
      <c r="F103">
        <v>0.96270404566363899</v>
      </c>
      <c r="G103">
        <v>73.755517793220207</v>
      </c>
      <c r="H103">
        <v>72.460901805125104</v>
      </c>
      <c r="I103" t="str">
        <f t="shared" si="1"/>
        <v>concord</v>
      </c>
      <c r="J103" t="s">
        <v>982</v>
      </c>
    </row>
    <row r="104" spans="1:10" x14ac:dyDescent="0.2">
      <c r="A104" s="3" t="s">
        <v>652</v>
      </c>
      <c r="B104">
        <v>409.369140625</v>
      </c>
      <c r="C104">
        <v>14.839907059738399</v>
      </c>
      <c r="D104">
        <v>25.9877747065017</v>
      </c>
      <c r="E104">
        <v>32.331750159261198</v>
      </c>
      <c r="F104">
        <v>0.95687929458643495</v>
      </c>
      <c r="G104">
        <v>71.933247293064298</v>
      </c>
      <c r="H104">
        <v>69.755024349375205</v>
      </c>
      <c r="I104" t="str">
        <f t="shared" si="1"/>
        <v>concord</v>
      </c>
      <c r="J104" t="s">
        <v>982</v>
      </c>
    </row>
    <row r="105" spans="1:10" x14ac:dyDescent="0.2">
      <c r="A105" s="3" t="s">
        <v>653</v>
      </c>
      <c r="B105">
        <v>359.53125</v>
      </c>
      <c r="C105">
        <v>16.897001303781</v>
      </c>
      <c r="D105">
        <v>25.293553057160899</v>
      </c>
      <c r="E105">
        <v>31.639040855281799</v>
      </c>
      <c r="F105">
        <v>0.95035038679685002</v>
      </c>
      <c r="G105">
        <v>69.925560624244</v>
      </c>
      <c r="H105">
        <v>66.910051066952306</v>
      </c>
      <c r="I105" t="str">
        <f t="shared" si="1"/>
        <v>concord</v>
      </c>
      <c r="J105" t="s">
        <v>982</v>
      </c>
    </row>
    <row r="106" spans="1:10" x14ac:dyDescent="0.2">
      <c r="A106" s="3" t="s">
        <v>654</v>
      </c>
      <c r="B106">
        <v>313.6669921875</v>
      </c>
      <c r="C106">
        <v>19.367673842992598</v>
      </c>
      <c r="D106">
        <v>24.614570004558999</v>
      </c>
      <c r="E106">
        <v>30.9599498626981</v>
      </c>
      <c r="F106">
        <v>0.94301802612019903</v>
      </c>
      <c r="G106">
        <v>67.717006139530696</v>
      </c>
      <c r="H106">
        <v>63.935397820718698</v>
      </c>
      <c r="I106" t="str">
        <f t="shared" si="1"/>
        <v>concord</v>
      </c>
      <c r="J106" t="s">
        <v>982</v>
      </c>
    </row>
    <row r="107" spans="1:10" x14ac:dyDescent="0.2">
      <c r="A107" s="3" t="s">
        <v>655</v>
      </c>
      <c r="B107">
        <v>272.083984375</v>
      </c>
      <c r="C107">
        <v>22.3276647978924</v>
      </c>
      <c r="D107">
        <v>23.948473636364099</v>
      </c>
      <c r="E107">
        <v>30.296839151324399</v>
      </c>
      <c r="F107">
        <v>0.93493813727967201</v>
      </c>
      <c r="G107">
        <v>65.276485707728497</v>
      </c>
      <c r="H107">
        <v>60.906567889888898</v>
      </c>
      <c r="I107" t="str">
        <f t="shared" si="1"/>
        <v>concord</v>
      </c>
      <c r="J107" t="s">
        <v>982</v>
      </c>
    </row>
    <row r="108" spans="1:10" x14ac:dyDescent="0.2">
      <c r="A108" s="3" t="s">
        <v>656</v>
      </c>
      <c r="B108">
        <v>235.2509765625</v>
      </c>
      <c r="C108">
        <v>25.823484725837201</v>
      </c>
      <c r="D108">
        <v>23.321025206735801</v>
      </c>
      <c r="E108">
        <v>29.672442988048701</v>
      </c>
      <c r="F108">
        <v>0.926350890859304</v>
      </c>
      <c r="G108">
        <v>62.685658029244202</v>
      </c>
      <c r="H108">
        <v>57.949452320151302</v>
      </c>
      <c r="I108" t="str">
        <f t="shared" si="1"/>
        <v>concord</v>
      </c>
      <c r="J108" t="s">
        <v>982</v>
      </c>
    </row>
    <row r="109" spans="1:10" x14ac:dyDescent="0.2">
      <c r="A109" s="3" t="s">
        <v>657</v>
      </c>
      <c r="B109">
        <v>203.16796875</v>
      </c>
      <c r="C109">
        <v>29.901367018515302</v>
      </c>
      <c r="D109">
        <v>22.728209830646801</v>
      </c>
      <c r="E109">
        <v>29.081049097465598</v>
      </c>
      <c r="F109">
        <v>0.91721286302744598</v>
      </c>
      <c r="G109">
        <v>59.961771609861302</v>
      </c>
      <c r="H109">
        <v>55.071867542441197</v>
      </c>
      <c r="I109" t="str">
        <f t="shared" si="1"/>
        <v>concord</v>
      </c>
      <c r="J109" t="s">
        <v>982</v>
      </c>
    </row>
    <row r="110" spans="1:10" x14ac:dyDescent="0.2">
      <c r="A110" s="3" t="s">
        <v>658</v>
      </c>
      <c r="B110">
        <v>174.2626953125</v>
      </c>
      <c r="C110">
        <v>34.861161702485397</v>
      </c>
      <c r="D110">
        <v>22.1214496687242</v>
      </c>
      <c r="E110">
        <v>28.482493366784698</v>
      </c>
      <c r="F110">
        <v>0.90696817798364204</v>
      </c>
      <c r="G110">
        <v>56.964020816899101</v>
      </c>
      <c r="H110">
        <v>52.142974159957902</v>
      </c>
      <c r="I110" t="str">
        <f t="shared" si="1"/>
        <v>concord</v>
      </c>
      <c r="J110" t="s">
        <v>982</v>
      </c>
    </row>
    <row r="111" spans="1:10" x14ac:dyDescent="0.2">
      <c r="A111" s="3" t="s">
        <v>659</v>
      </c>
      <c r="B111">
        <v>148.140625</v>
      </c>
      <c r="C111">
        <v>41.008332454382497</v>
      </c>
      <c r="D111">
        <v>21.5334905220137</v>
      </c>
      <c r="E111">
        <v>27.8923999899575</v>
      </c>
      <c r="F111">
        <v>0.89613284400211402</v>
      </c>
      <c r="G111">
        <v>53.8358808334687</v>
      </c>
      <c r="H111">
        <v>49.350281403108099</v>
      </c>
      <c r="I111" t="str">
        <f t="shared" si="1"/>
        <v>concord</v>
      </c>
      <c r="J111" t="s">
        <v>982</v>
      </c>
    </row>
    <row r="112" spans="1:10" x14ac:dyDescent="0.2">
      <c r="A112" s="3" t="s">
        <v>660</v>
      </c>
      <c r="B112">
        <v>125.6142578125</v>
      </c>
      <c r="C112">
        <v>48.362344416888902</v>
      </c>
      <c r="D112">
        <v>20.975355403825699</v>
      </c>
      <c r="E112">
        <v>27.335559348920398</v>
      </c>
      <c r="F112">
        <v>0.88426952313057305</v>
      </c>
      <c r="G112">
        <v>50.8136928967144</v>
      </c>
      <c r="H112">
        <v>46.610123285303899</v>
      </c>
      <c r="I112" t="str">
        <f t="shared" si="1"/>
        <v>concord</v>
      </c>
      <c r="J112" t="s">
        <v>982</v>
      </c>
    </row>
    <row r="113" spans="1:10" x14ac:dyDescent="0.2">
      <c r="A113" s="3" t="s">
        <v>661</v>
      </c>
      <c r="B113">
        <v>106.392578125</v>
      </c>
      <c r="C113">
        <v>57.099847630936402</v>
      </c>
      <c r="D113">
        <v>20.4558887778295</v>
      </c>
      <c r="E113">
        <v>26.819482313652099</v>
      </c>
      <c r="F113">
        <v>0.87211721163115796</v>
      </c>
      <c r="G113">
        <v>48.0356377063232</v>
      </c>
      <c r="H113">
        <v>44.104584113337502</v>
      </c>
      <c r="I113" t="str">
        <f t="shared" si="1"/>
        <v>concord</v>
      </c>
      <c r="J113" t="s">
        <v>982</v>
      </c>
    </row>
    <row r="114" spans="1:10" x14ac:dyDescent="0.2">
      <c r="A114" s="3" t="s">
        <v>470</v>
      </c>
      <c r="B114">
        <v>411.19921875</v>
      </c>
      <c r="C114">
        <v>14.7738607540825</v>
      </c>
      <c r="D114">
        <v>35.6290814600845</v>
      </c>
      <c r="E114">
        <v>39.713587869159099</v>
      </c>
      <c r="F114">
        <v>0.98468425401868098</v>
      </c>
      <c r="G114">
        <v>87.885751413390196</v>
      </c>
      <c r="H114">
        <v>84.288825261217397</v>
      </c>
      <c r="I114" t="str">
        <f t="shared" si="1"/>
        <v>deskchair</v>
      </c>
      <c r="J114" t="s">
        <v>982</v>
      </c>
    </row>
    <row r="115" spans="1:10" x14ac:dyDescent="0.2">
      <c r="A115" s="3" t="s">
        <v>471</v>
      </c>
      <c r="B115">
        <v>361.98046875</v>
      </c>
      <c r="C115">
        <v>16.782673443620698</v>
      </c>
      <c r="D115">
        <v>34.866672665697301</v>
      </c>
      <c r="E115">
        <v>38.952002160651801</v>
      </c>
      <c r="F115">
        <v>0.98224881536575603</v>
      </c>
      <c r="G115">
        <v>86.3756814413168</v>
      </c>
      <c r="H115">
        <v>82.840354619209606</v>
      </c>
      <c r="I115" t="str">
        <f t="shared" si="1"/>
        <v>deskchair</v>
      </c>
      <c r="J115" t="s">
        <v>982</v>
      </c>
    </row>
    <row r="116" spans="1:10" x14ac:dyDescent="0.2">
      <c r="A116" s="3" t="s">
        <v>472</v>
      </c>
      <c r="B116">
        <v>316.3017578125</v>
      </c>
      <c r="C116">
        <v>19.206342835442602</v>
      </c>
      <c r="D116">
        <v>34.107766676718803</v>
      </c>
      <c r="E116">
        <v>38.193343407777</v>
      </c>
      <c r="F116">
        <v>0.97947754902111805</v>
      </c>
      <c r="G116">
        <v>84.8646598106006</v>
      </c>
      <c r="H116">
        <v>81.236493511299798</v>
      </c>
      <c r="I116" t="str">
        <f t="shared" si="1"/>
        <v>deskchair</v>
      </c>
      <c r="J116" t="s">
        <v>982</v>
      </c>
    </row>
    <row r="117" spans="1:10" x14ac:dyDescent="0.2">
      <c r="A117" s="3" t="s">
        <v>473</v>
      </c>
      <c r="B117">
        <v>273.4072265625</v>
      </c>
      <c r="C117">
        <v>22.219602884605099</v>
      </c>
      <c r="D117">
        <v>33.387135982224301</v>
      </c>
      <c r="E117">
        <v>37.4730580093754</v>
      </c>
      <c r="F117">
        <v>0.97649466319429401</v>
      </c>
      <c r="G117">
        <v>83.420557780329702</v>
      </c>
      <c r="H117">
        <v>79.561384225289899</v>
      </c>
      <c r="I117" t="str">
        <f t="shared" si="1"/>
        <v>deskchair</v>
      </c>
      <c r="J117" t="s">
        <v>982</v>
      </c>
    </row>
    <row r="118" spans="1:10" x14ac:dyDescent="0.2">
      <c r="A118" s="3" t="s">
        <v>474</v>
      </c>
      <c r="B118">
        <v>234.224609375</v>
      </c>
      <c r="C118">
        <v>25.936642679052401</v>
      </c>
      <c r="D118">
        <v>32.6965020733996</v>
      </c>
      <c r="E118">
        <v>36.782134699749101</v>
      </c>
      <c r="F118">
        <v>0.97326985935077104</v>
      </c>
      <c r="G118">
        <v>82.022262385411096</v>
      </c>
      <c r="H118">
        <v>77.808273666173406</v>
      </c>
      <c r="I118" t="str">
        <f t="shared" si="1"/>
        <v>deskchair</v>
      </c>
      <c r="J118" t="s">
        <v>982</v>
      </c>
    </row>
    <row r="119" spans="1:10" x14ac:dyDescent="0.2">
      <c r="A119" s="3" t="s">
        <v>475</v>
      </c>
      <c r="B119">
        <v>198.728515625</v>
      </c>
      <c r="C119">
        <v>30.569342204837401</v>
      </c>
      <c r="D119">
        <v>32.040870070315997</v>
      </c>
      <c r="E119">
        <v>36.127006981368098</v>
      </c>
      <c r="F119">
        <v>0.96981922969103396</v>
      </c>
      <c r="G119">
        <v>80.679059492185402</v>
      </c>
      <c r="H119">
        <v>75.996693440066593</v>
      </c>
      <c r="I119" t="str">
        <f t="shared" si="1"/>
        <v>deskchair</v>
      </c>
      <c r="J119" t="s">
        <v>982</v>
      </c>
    </row>
    <row r="120" spans="1:10" x14ac:dyDescent="0.2">
      <c r="A120" s="3" t="s">
        <v>476</v>
      </c>
      <c r="B120">
        <v>167.5341796875</v>
      </c>
      <c r="C120">
        <v>36.261257322724497</v>
      </c>
      <c r="D120">
        <v>31.4119837151284</v>
      </c>
      <c r="E120">
        <v>35.498353580144702</v>
      </c>
      <c r="F120">
        <v>0.96611841543255395</v>
      </c>
      <c r="G120">
        <v>79.367273315347006</v>
      </c>
      <c r="H120">
        <v>74.124926764556406</v>
      </c>
      <c r="I120" t="str">
        <f t="shared" si="1"/>
        <v>deskchair</v>
      </c>
      <c r="J120" t="s">
        <v>982</v>
      </c>
    </row>
    <row r="121" spans="1:10" x14ac:dyDescent="0.2">
      <c r="A121" s="3" t="s">
        <v>477</v>
      </c>
      <c r="B121">
        <v>140.173828125</v>
      </c>
      <c r="C121">
        <v>43.339046106257598</v>
      </c>
      <c r="D121">
        <v>30.842472665356599</v>
      </c>
      <c r="E121">
        <v>34.9295312852297</v>
      </c>
      <c r="F121">
        <v>0.96239448308485998</v>
      </c>
      <c r="G121">
        <v>78.153282168251096</v>
      </c>
      <c r="H121">
        <v>72.312937081614095</v>
      </c>
      <c r="I121" t="str">
        <f t="shared" si="1"/>
        <v>deskchair</v>
      </c>
      <c r="J121" t="s">
        <v>982</v>
      </c>
    </row>
    <row r="122" spans="1:10" x14ac:dyDescent="0.2">
      <c r="A122" s="3" t="s">
        <v>478</v>
      </c>
      <c r="B122">
        <v>117.5283203125</v>
      </c>
      <c r="C122">
        <v>51.6896692120417</v>
      </c>
      <c r="D122">
        <v>30.327748239755199</v>
      </c>
      <c r="E122">
        <v>34.415093264935301</v>
      </c>
      <c r="F122">
        <v>0.95877102481797305</v>
      </c>
      <c r="G122">
        <v>77.025264659450997</v>
      </c>
      <c r="H122">
        <v>70.615942504395704</v>
      </c>
      <c r="I122" t="str">
        <f t="shared" si="1"/>
        <v>deskchair</v>
      </c>
      <c r="J122" t="s">
        <v>982</v>
      </c>
    </row>
    <row r="123" spans="1:10" x14ac:dyDescent="0.2">
      <c r="A123" s="3" t="s">
        <v>479</v>
      </c>
      <c r="B123">
        <v>98.1875</v>
      </c>
      <c r="C123">
        <v>61.871419478039499</v>
      </c>
      <c r="D123">
        <v>29.839484479842</v>
      </c>
      <c r="E123">
        <v>33.927004715843204</v>
      </c>
      <c r="F123">
        <v>0.95491675050675895</v>
      </c>
      <c r="G123">
        <v>75.920157483390099</v>
      </c>
      <c r="H123">
        <v>68.879547467442805</v>
      </c>
      <c r="I123" t="str">
        <f t="shared" si="1"/>
        <v>deskchair</v>
      </c>
      <c r="J123" t="s">
        <v>982</v>
      </c>
    </row>
    <row r="124" spans="1:10" x14ac:dyDescent="0.2">
      <c r="A124" s="3" t="s">
        <v>480</v>
      </c>
      <c r="B124">
        <v>82.3720703125</v>
      </c>
      <c r="C124">
        <v>73.750726149687594</v>
      </c>
      <c r="D124">
        <v>29.386314103090601</v>
      </c>
      <c r="E124">
        <v>33.474764751328401</v>
      </c>
      <c r="F124">
        <v>0.95118787997434795</v>
      </c>
      <c r="G124">
        <v>74.857277214971703</v>
      </c>
      <c r="H124">
        <v>67.2643396718411</v>
      </c>
      <c r="I124" t="str">
        <f t="shared" si="1"/>
        <v>deskchair</v>
      </c>
      <c r="J124" t="s">
        <v>982</v>
      </c>
    </row>
    <row r="125" spans="1:10" x14ac:dyDescent="0.2">
      <c r="A125" s="3" t="s">
        <v>481</v>
      </c>
      <c r="B125">
        <v>69.6142578125</v>
      </c>
      <c r="C125">
        <v>87.266605877814399</v>
      </c>
      <c r="D125">
        <v>28.961613654319098</v>
      </c>
      <c r="E125">
        <v>33.048852467512397</v>
      </c>
      <c r="F125">
        <v>0.94745176362380701</v>
      </c>
      <c r="G125">
        <v>73.8132276259512</v>
      </c>
      <c r="H125">
        <v>65.707201759083105</v>
      </c>
      <c r="I125" t="str">
        <f t="shared" si="1"/>
        <v>deskchair</v>
      </c>
      <c r="J125" t="s">
        <v>982</v>
      </c>
    </row>
    <row r="126" spans="1:10" x14ac:dyDescent="0.2">
      <c r="A126" s="3" t="s">
        <v>482</v>
      </c>
      <c r="B126">
        <v>59.9599609375</v>
      </c>
      <c r="C126">
        <v>101.31761103601001</v>
      </c>
      <c r="D126">
        <v>28.5460209486304</v>
      </c>
      <c r="E126">
        <v>32.635940939417999</v>
      </c>
      <c r="F126">
        <v>0.94367352027763696</v>
      </c>
      <c r="G126">
        <v>72.751952513983994</v>
      </c>
      <c r="H126">
        <v>64.192286142092399</v>
      </c>
      <c r="I126" t="str">
        <f t="shared" si="1"/>
        <v>deskchair</v>
      </c>
      <c r="J126" t="s">
        <v>982</v>
      </c>
    </row>
    <row r="127" spans="1:10" x14ac:dyDescent="0.2">
      <c r="A127" s="3" t="s">
        <v>483</v>
      </c>
      <c r="B127">
        <v>51.69140625</v>
      </c>
      <c r="C127">
        <v>117.524370890954</v>
      </c>
      <c r="D127">
        <v>28.164068324998802</v>
      </c>
      <c r="E127">
        <v>32.251231041781701</v>
      </c>
      <c r="F127">
        <v>0.94012820068844305</v>
      </c>
      <c r="G127">
        <v>71.710652243015005</v>
      </c>
      <c r="H127">
        <v>62.8232441021444</v>
      </c>
      <c r="I127" t="str">
        <f t="shared" si="1"/>
        <v>deskchair</v>
      </c>
      <c r="J127" t="s">
        <v>982</v>
      </c>
    </row>
    <row r="128" spans="1:10" x14ac:dyDescent="0.2">
      <c r="A128" s="3" t="s">
        <v>484</v>
      </c>
      <c r="B128">
        <v>44.6962890625</v>
      </c>
      <c r="C128">
        <v>135.91732395289401</v>
      </c>
      <c r="D128">
        <v>27.755708954629501</v>
      </c>
      <c r="E128">
        <v>31.845260343993999</v>
      </c>
      <c r="F128">
        <v>0.93584691255353403</v>
      </c>
      <c r="G128">
        <v>70.546393129402702</v>
      </c>
      <c r="H128">
        <v>61.234883754691701</v>
      </c>
      <c r="I128" t="str">
        <f t="shared" si="1"/>
        <v>deskchair</v>
      </c>
      <c r="J128" t="s">
        <v>982</v>
      </c>
    </row>
    <row r="129" spans="1:10" x14ac:dyDescent="0.2">
      <c r="A129" s="3" t="s">
        <v>485</v>
      </c>
      <c r="B129">
        <v>38.8203125</v>
      </c>
      <c r="C129">
        <v>156.49023948480601</v>
      </c>
      <c r="D129">
        <v>27.3661669585249</v>
      </c>
      <c r="E129">
        <v>31.454129749963201</v>
      </c>
      <c r="F129">
        <v>0.93195822899369996</v>
      </c>
      <c r="G129">
        <v>69.350246507005494</v>
      </c>
      <c r="H129">
        <v>59.851075859159401</v>
      </c>
      <c r="I129" t="str">
        <f t="shared" si="1"/>
        <v>deskchair</v>
      </c>
      <c r="J129" t="s">
        <v>982</v>
      </c>
    </row>
    <row r="130" spans="1:10" x14ac:dyDescent="0.2">
      <c r="A130" s="3" t="s">
        <v>390</v>
      </c>
      <c r="B130">
        <v>399.0908203125</v>
      </c>
      <c r="C130">
        <v>15.222099058162</v>
      </c>
      <c r="D130">
        <v>34.252218711391897</v>
      </c>
      <c r="E130">
        <v>41.177905584623403</v>
      </c>
      <c r="F130">
        <v>0.99383974423624999</v>
      </c>
      <c r="G130">
        <v>90.778140021157498</v>
      </c>
      <c r="H130">
        <v>90.077328929332694</v>
      </c>
      <c r="I130" t="str">
        <f t="shared" si="1"/>
        <v>earth</v>
      </c>
      <c r="J130" t="s">
        <v>982</v>
      </c>
    </row>
    <row r="131" spans="1:10" x14ac:dyDescent="0.2">
      <c r="A131" s="3" t="s">
        <v>391</v>
      </c>
      <c r="B131">
        <v>354.6435546875</v>
      </c>
      <c r="C131">
        <v>17.129875672922001</v>
      </c>
      <c r="D131">
        <v>33.550986942732898</v>
      </c>
      <c r="E131">
        <v>40.477221609857601</v>
      </c>
      <c r="F131">
        <v>0.99290554541166398</v>
      </c>
      <c r="G131">
        <v>89.395450739068195</v>
      </c>
      <c r="H131">
        <v>89.460889348330994</v>
      </c>
      <c r="I131" t="str">
        <f t="shared" ref="I131:I194" si="2">MID(A131,1,(FIND("yuv",A131))-1)</f>
        <v>earth</v>
      </c>
      <c r="J131" t="s">
        <v>982</v>
      </c>
    </row>
    <row r="132" spans="1:10" x14ac:dyDescent="0.2">
      <c r="A132" s="3" t="s">
        <v>392</v>
      </c>
      <c r="B132">
        <v>314.1474609375</v>
      </c>
      <c r="C132">
        <v>19.338052206026401</v>
      </c>
      <c r="D132">
        <v>32.837006742626002</v>
      </c>
      <c r="E132">
        <v>39.764018990659103</v>
      </c>
      <c r="F132">
        <v>0.99179000708947396</v>
      </c>
      <c r="G132">
        <v>87.985569545861196</v>
      </c>
      <c r="H132">
        <v>88.732664980347394</v>
      </c>
      <c r="I132" t="str">
        <f t="shared" si="2"/>
        <v>earth</v>
      </c>
      <c r="J132" t="s">
        <v>982</v>
      </c>
    </row>
    <row r="133" spans="1:10" x14ac:dyDescent="0.2">
      <c r="A133" s="3" t="s">
        <v>393</v>
      </c>
      <c r="B133">
        <v>277.6083984375</v>
      </c>
      <c r="C133">
        <v>21.8833437107549</v>
      </c>
      <c r="D133">
        <v>32.153080568773703</v>
      </c>
      <c r="E133">
        <v>39.081711117136798</v>
      </c>
      <c r="F133">
        <v>0.9905544849247</v>
      </c>
      <c r="G133">
        <v>86.633269465605906</v>
      </c>
      <c r="H133">
        <v>87.936002604150403</v>
      </c>
      <c r="I133" t="str">
        <f t="shared" si="2"/>
        <v>earth</v>
      </c>
      <c r="J133" t="s">
        <v>982</v>
      </c>
    </row>
    <row r="134" spans="1:10" x14ac:dyDescent="0.2">
      <c r="A134" s="3" t="s">
        <v>394</v>
      </c>
      <c r="B134">
        <v>244.7822265625</v>
      </c>
      <c r="C134">
        <v>24.817978352888598</v>
      </c>
      <c r="D134">
        <v>31.464694003922901</v>
      </c>
      <c r="E134">
        <v>38.393273783731601</v>
      </c>
      <c r="F134">
        <v>0.98916840895523495</v>
      </c>
      <c r="G134">
        <v>85.263691267807701</v>
      </c>
      <c r="H134">
        <v>87.054470268535894</v>
      </c>
      <c r="I134" t="str">
        <f t="shared" si="2"/>
        <v>earth</v>
      </c>
      <c r="J134" t="s">
        <v>982</v>
      </c>
    </row>
    <row r="135" spans="1:10" x14ac:dyDescent="0.2">
      <c r="A135" s="3" t="s">
        <v>395</v>
      </c>
      <c r="B135">
        <v>214.771484375</v>
      </c>
      <c r="C135">
        <v>28.285877977137801</v>
      </c>
      <c r="D135">
        <v>30.7827987444774</v>
      </c>
      <c r="E135">
        <v>37.712189421454198</v>
      </c>
      <c r="F135">
        <v>0.98756792435623497</v>
      </c>
      <c r="G135">
        <v>83.901275494240195</v>
      </c>
      <c r="H135">
        <v>86.052395515891902</v>
      </c>
      <c r="I135" t="str">
        <f t="shared" si="2"/>
        <v>earth</v>
      </c>
      <c r="J135" t="s">
        <v>982</v>
      </c>
    </row>
    <row r="136" spans="1:10" x14ac:dyDescent="0.2">
      <c r="A136" s="3" t="s">
        <v>396</v>
      </c>
      <c r="B136">
        <v>188.115234375</v>
      </c>
      <c r="C136">
        <v>32.294035197009798</v>
      </c>
      <c r="D136">
        <v>30.121464099210598</v>
      </c>
      <c r="E136">
        <v>37.052435332963697</v>
      </c>
      <c r="F136">
        <v>0.98582961005179803</v>
      </c>
      <c r="G136">
        <v>82.571165583573602</v>
      </c>
      <c r="H136">
        <v>84.982914471954203</v>
      </c>
      <c r="I136" t="str">
        <f t="shared" si="2"/>
        <v>earth</v>
      </c>
      <c r="J136" t="s">
        <v>982</v>
      </c>
    </row>
    <row r="137" spans="1:10" x14ac:dyDescent="0.2">
      <c r="A137" s="3" t="s">
        <v>397</v>
      </c>
      <c r="B137">
        <v>164.7578125</v>
      </c>
      <c r="C137">
        <v>36.872303096400998</v>
      </c>
      <c r="D137">
        <v>29.490013949390299</v>
      </c>
      <c r="E137">
        <v>36.421333746535403</v>
      </c>
      <c r="F137">
        <v>0.98394997236945303</v>
      </c>
      <c r="G137">
        <v>81.285032987283898</v>
      </c>
      <c r="H137">
        <v>83.848213008169296</v>
      </c>
      <c r="I137" t="str">
        <f t="shared" si="2"/>
        <v>earth</v>
      </c>
      <c r="J137" t="s">
        <v>982</v>
      </c>
    </row>
    <row r="138" spans="1:10" x14ac:dyDescent="0.2">
      <c r="A138" s="3" t="s">
        <v>398</v>
      </c>
      <c r="B138">
        <v>143.3935546875</v>
      </c>
      <c r="C138">
        <v>42.365920931658003</v>
      </c>
      <c r="D138">
        <v>28.851227711978702</v>
      </c>
      <c r="E138">
        <v>35.783309695354603</v>
      </c>
      <c r="F138">
        <v>0.98181831928575303</v>
      </c>
      <c r="G138">
        <v>79.965187852972505</v>
      </c>
      <c r="H138">
        <v>82.588141363017897</v>
      </c>
      <c r="I138" t="str">
        <f t="shared" si="2"/>
        <v>earth</v>
      </c>
      <c r="J138" t="s">
        <v>982</v>
      </c>
    </row>
    <row r="139" spans="1:10" x14ac:dyDescent="0.2">
      <c r="A139" s="3" t="s">
        <v>399</v>
      </c>
      <c r="B139">
        <v>125.0234375</v>
      </c>
      <c r="C139">
        <v>48.590889208273403</v>
      </c>
      <c r="D139">
        <v>28.225368789768499</v>
      </c>
      <c r="E139">
        <v>35.159318838861097</v>
      </c>
      <c r="F139">
        <v>0.97953303030980599</v>
      </c>
      <c r="G139">
        <v>78.647362116610097</v>
      </c>
      <c r="H139">
        <v>81.268148539290706</v>
      </c>
      <c r="I139" t="str">
        <f t="shared" si="2"/>
        <v>earth</v>
      </c>
      <c r="J139" t="s">
        <v>982</v>
      </c>
    </row>
    <row r="140" spans="1:10" x14ac:dyDescent="0.2">
      <c r="A140" s="3" t="s">
        <v>400</v>
      </c>
      <c r="B140">
        <v>108.7607421875</v>
      </c>
      <c r="C140">
        <v>55.856551525980699</v>
      </c>
      <c r="D140">
        <v>27.620548587514001</v>
      </c>
      <c r="E140">
        <v>34.554937829280398</v>
      </c>
      <c r="F140">
        <v>0.97703940227669495</v>
      </c>
      <c r="G140">
        <v>77.335233738524195</v>
      </c>
      <c r="H140">
        <v>79.863404808223095</v>
      </c>
      <c r="I140" t="str">
        <f t="shared" si="2"/>
        <v>earth</v>
      </c>
      <c r="J140" t="s">
        <v>982</v>
      </c>
    </row>
    <row r="141" spans="1:10" x14ac:dyDescent="0.2">
      <c r="A141" s="3" t="s">
        <v>401</v>
      </c>
      <c r="B141">
        <v>94.892578125</v>
      </c>
      <c r="C141">
        <v>64.019759184933605</v>
      </c>
      <c r="D141">
        <v>27.0315732358217</v>
      </c>
      <c r="E141">
        <v>33.968121312244897</v>
      </c>
      <c r="F141">
        <v>0.974341299114029</v>
      </c>
      <c r="G141">
        <v>76.014793696848798</v>
      </c>
      <c r="H141">
        <v>78.384198532090295</v>
      </c>
      <c r="I141" t="str">
        <f t="shared" si="2"/>
        <v>earth</v>
      </c>
      <c r="J141" t="s">
        <v>982</v>
      </c>
    </row>
    <row r="142" spans="1:10" x14ac:dyDescent="0.2">
      <c r="A142" s="3" t="s">
        <v>402</v>
      </c>
      <c r="B142">
        <v>82.2119140625</v>
      </c>
      <c r="C142">
        <v>73.894399239769598</v>
      </c>
      <c r="D142">
        <v>26.4506361094022</v>
      </c>
      <c r="E142">
        <v>33.3871591409372</v>
      </c>
      <c r="F142">
        <v>0.97144049874152705</v>
      </c>
      <c r="G142">
        <v>74.646244737571095</v>
      </c>
      <c r="H142">
        <v>76.839730911047795</v>
      </c>
      <c r="I142" t="str">
        <f t="shared" si="2"/>
        <v>earth</v>
      </c>
      <c r="J142" t="s">
        <v>982</v>
      </c>
    </row>
    <row r="143" spans="1:10" x14ac:dyDescent="0.2">
      <c r="A143" s="3" t="s">
        <v>403</v>
      </c>
      <c r="B143">
        <v>71.5810546875</v>
      </c>
      <c r="C143">
        <v>84.868824949862898</v>
      </c>
      <c r="D143">
        <v>25.8743022968081</v>
      </c>
      <c r="E143">
        <v>32.812718510465103</v>
      </c>
      <c r="F143">
        <v>0.96830953875251602</v>
      </c>
      <c r="G143">
        <v>73.212859800885099</v>
      </c>
      <c r="H143">
        <v>75.224399566124703</v>
      </c>
      <c r="I143" t="str">
        <f t="shared" si="2"/>
        <v>earth</v>
      </c>
      <c r="J143" t="s">
        <v>982</v>
      </c>
    </row>
    <row r="144" spans="1:10" x14ac:dyDescent="0.2">
      <c r="A144" s="3" t="s">
        <v>404</v>
      </c>
      <c r="B144">
        <v>62.283203125</v>
      </c>
      <c r="C144">
        <v>97.538336103358503</v>
      </c>
      <c r="D144">
        <v>25.318313179224099</v>
      </c>
      <c r="E144">
        <v>32.259298836030197</v>
      </c>
      <c r="F144">
        <v>0.96476630317654199</v>
      </c>
      <c r="G144">
        <v>71.733072796283395</v>
      </c>
      <c r="H144">
        <v>73.458878438516194</v>
      </c>
      <c r="I144" t="str">
        <f t="shared" si="2"/>
        <v>earth</v>
      </c>
      <c r="J144" t="s">
        <v>982</v>
      </c>
    </row>
    <row r="145" spans="1:10" x14ac:dyDescent="0.2">
      <c r="A145" s="3" t="s">
        <v>405</v>
      </c>
      <c r="B145">
        <v>54.236328125</v>
      </c>
      <c r="C145">
        <v>112.00979509525</v>
      </c>
      <c r="D145">
        <v>24.769055692712701</v>
      </c>
      <c r="E145">
        <v>31.713568542546</v>
      </c>
      <c r="F145">
        <v>0.96101344791742305</v>
      </c>
      <c r="G145">
        <v>70.152378430716595</v>
      </c>
      <c r="H145">
        <v>71.658601903853395</v>
      </c>
      <c r="I145" t="str">
        <f t="shared" si="2"/>
        <v>earth</v>
      </c>
      <c r="J145" t="s">
        <v>982</v>
      </c>
    </row>
    <row r="146" spans="1:10" x14ac:dyDescent="0.2">
      <c r="A146" s="3" t="s">
        <v>406</v>
      </c>
      <c r="B146">
        <v>157.8828125</v>
      </c>
      <c r="C146">
        <v>38.477905883517202</v>
      </c>
      <c r="D146">
        <v>37.290818879632702</v>
      </c>
      <c r="E146">
        <v>43.206935325126203</v>
      </c>
      <c r="F146">
        <v>0.98844123336437195</v>
      </c>
      <c r="G146">
        <v>94.774717208811296</v>
      </c>
      <c r="H146">
        <v>86.597094414365102</v>
      </c>
      <c r="I146" t="str">
        <f t="shared" si="2"/>
        <v>flower</v>
      </c>
      <c r="J146" t="s">
        <v>982</v>
      </c>
    </row>
    <row r="147" spans="1:10" x14ac:dyDescent="0.2">
      <c r="A147" s="3" t="s">
        <v>407</v>
      </c>
      <c r="B147">
        <v>122.0625</v>
      </c>
      <c r="C147">
        <v>49.769585253456199</v>
      </c>
      <c r="D147">
        <v>36.8950569301089</v>
      </c>
      <c r="E147">
        <v>42.811608786044403</v>
      </c>
      <c r="F147">
        <v>0.98748986995832799</v>
      </c>
      <c r="G147">
        <v>93.996586234745095</v>
      </c>
      <c r="H147">
        <v>86.003954034409205</v>
      </c>
      <c r="I147" t="str">
        <f t="shared" si="2"/>
        <v>flower</v>
      </c>
      <c r="J147" t="s">
        <v>982</v>
      </c>
    </row>
    <row r="148" spans="1:10" x14ac:dyDescent="0.2">
      <c r="A148" s="3" t="s">
        <v>408</v>
      </c>
      <c r="B148">
        <v>94.8583984375</v>
      </c>
      <c r="C148">
        <v>64.042826993359796</v>
      </c>
      <c r="D148">
        <v>36.580744189877002</v>
      </c>
      <c r="E148">
        <v>42.497976591745299</v>
      </c>
      <c r="F148">
        <v>0.98671260856107301</v>
      </c>
      <c r="G148">
        <v>93.379114832227302</v>
      </c>
      <c r="H148">
        <v>85.523734023830201</v>
      </c>
      <c r="I148" t="str">
        <f t="shared" si="2"/>
        <v>flower</v>
      </c>
      <c r="J148" t="s">
        <v>982</v>
      </c>
    </row>
    <row r="149" spans="1:10" x14ac:dyDescent="0.2">
      <c r="A149" s="3" t="s">
        <v>409</v>
      </c>
      <c r="B149">
        <v>71.8779296875</v>
      </c>
      <c r="C149">
        <v>84.518294091273503</v>
      </c>
      <c r="D149">
        <v>36.308332654331203</v>
      </c>
      <c r="E149">
        <v>42.225622343164702</v>
      </c>
      <c r="F149">
        <v>0.98604724646056796</v>
      </c>
      <c r="G149">
        <v>92.842788291832605</v>
      </c>
      <c r="H149">
        <v>85.115747881817697</v>
      </c>
      <c r="I149" t="str">
        <f t="shared" si="2"/>
        <v>flower</v>
      </c>
      <c r="J149" t="s">
        <v>982</v>
      </c>
    </row>
    <row r="150" spans="1:10" x14ac:dyDescent="0.2">
      <c r="A150" s="3" t="s">
        <v>410</v>
      </c>
      <c r="B150">
        <v>55.412109375</v>
      </c>
      <c r="C150">
        <v>109.633076028339</v>
      </c>
      <c r="D150">
        <v>36.089795554790001</v>
      </c>
      <c r="E150">
        <v>42.006813458069097</v>
      </c>
      <c r="F150">
        <v>0.98557899578432795</v>
      </c>
      <c r="G150">
        <v>92.411808812919801</v>
      </c>
      <c r="H150">
        <v>84.830328242098602</v>
      </c>
      <c r="I150" t="str">
        <f t="shared" si="2"/>
        <v>flower</v>
      </c>
      <c r="J150" t="s">
        <v>982</v>
      </c>
    </row>
    <row r="151" spans="1:10" x14ac:dyDescent="0.2">
      <c r="A151" s="3" t="s">
        <v>411</v>
      </c>
      <c r="B151">
        <v>44.7724609375</v>
      </c>
      <c r="C151">
        <v>135.68608633062101</v>
      </c>
      <c r="D151">
        <v>35.9127918105509</v>
      </c>
      <c r="E151">
        <v>41.829451953186997</v>
      </c>
      <c r="F151">
        <v>0.98524253426128605</v>
      </c>
      <c r="G151">
        <v>92.062395620143604</v>
      </c>
      <c r="H151">
        <v>84.626103529890798</v>
      </c>
      <c r="I151" t="str">
        <f t="shared" si="2"/>
        <v>flower</v>
      </c>
      <c r="J151" t="s">
        <v>982</v>
      </c>
    </row>
    <row r="152" spans="1:10" x14ac:dyDescent="0.2">
      <c r="A152" s="3" t="s">
        <v>412</v>
      </c>
      <c r="B152">
        <v>37.89453125</v>
      </c>
      <c r="C152">
        <v>160.31336975569499</v>
      </c>
      <c r="D152">
        <v>35.746155189338303</v>
      </c>
      <c r="E152">
        <v>41.662999638927502</v>
      </c>
      <c r="F152">
        <v>0.98495817619814097</v>
      </c>
      <c r="G152">
        <v>91.734409861135703</v>
      </c>
      <c r="H152">
        <v>84.454065348826802</v>
      </c>
      <c r="I152" t="str">
        <f t="shared" si="2"/>
        <v>flower</v>
      </c>
      <c r="J152" t="s">
        <v>982</v>
      </c>
    </row>
    <row r="153" spans="1:10" x14ac:dyDescent="0.2">
      <c r="A153" s="3" t="s">
        <v>413</v>
      </c>
      <c r="B153">
        <v>32.859375</v>
      </c>
      <c r="C153">
        <v>184.87874465049899</v>
      </c>
      <c r="D153">
        <v>35.569804446995903</v>
      </c>
      <c r="E153">
        <v>41.486238229890603</v>
      </c>
      <c r="F153">
        <v>0.98462305974561803</v>
      </c>
      <c r="G153">
        <v>91.386035264518895</v>
      </c>
      <c r="H153">
        <v>84.251975395591899</v>
      </c>
      <c r="I153" t="str">
        <f t="shared" si="2"/>
        <v>flower</v>
      </c>
      <c r="J153" t="s">
        <v>982</v>
      </c>
    </row>
    <row r="154" spans="1:10" x14ac:dyDescent="0.2">
      <c r="A154" s="3" t="s">
        <v>414</v>
      </c>
      <c r="B154">
        <v>29.216796875</v>
      </c>
      <c r="C154">
        <v>207.92833745571201</v>
      </c>
      <c r="D154">
        <v>35.388257844224199</v>
      </c>
      <c r="E154">
        <v>41.304519550338398</v>
      </c>
      <c r="F154">
        <v>0.98433949648820596</v>
      </c>
      <c r="G154">
        <v>91.027801191348601</v>
      </c>
      <c r="H154">
        <v>84.081527999726603</v>
      </c>
      <c r="I154" t="str">
        <f t="shared" si="2"/>
        <v>flower</v>
      </c>
      <c r="J154" t="s">
        <v>982</v>
      </c>
    </row>
    <row r="155" spans="1:10" x14ac:dyDescent="0.2">
      <c r="A155" s="3" t="s">
        <v>415</v>
      </c>
      <c r="B155">
        <v>26.4287109375</v>
      </c>
      <c r="C155">
        <v>229.86365147987999</v>
      </c>
      <c r="D155">
        <v>35.190429091613296</v>
      </c>
      <c r="E155">
        <v>41.107152654552102</v>
      </c>
      <c r="F155">
        <v>0.98401659510052197</v>
      </c>
      <c r="G155">
        <v>90.638604755089403</v>
      </c>
      <c r="H155">
        <v>83.888050811486707</v>
      </c>
      <c r="I155" t="str">
        <f t="shared" si="2"/>
        <v>flower</v>
      </c>
      <c r="J155" t="s">
        <v>982</v>
      </c>
    </row>
    <row r="156" spans="1:10" x14ac:dyDescent="0.2">
      <c r="A156" s="3" t="s">
        <v>416</v>
      </c>
      <c r="B156">
        <v>24.3369140625</v>
      </c>
      <c r="C156">
        <v>249.620801733478</v>
      </c>
      <c r="D156">
        <v>34.973843162107897</v>
      </c>
      <c r="E156">
        <v>40.891373515427901</v>
      </c>
      <c r="F156">
        <v>0.98370410634795802</v>
      </c>
      <c r="G156">
        <v>90.212948336890506</v>
      </c>
      <c r="H156">
        <v>83.701435245998894</v>
      </c>
      <c r="I156" t="str">
        <f t="shared" si="2"/>
        <v>flower</v>
      </c>
      <c r="J156" t="s">
        <v>982</v>
      </c>
    </row>
    <row r="157" spans="1:10" x14ac:dyDescent="0.2">
      <c r="A157" s="3" t="s">
        <v>417</v>
      </c>
      <c r="B157">
        <v>22.2998046875</v>
      </c>
      <c r="C157">
        <v>272.42391066345499</v>
      </c>
      <c r="D157">
        <v>34.7447572628665</v>
      </c>
      <c r="E157">
        <v>40.662182901054699</v>
      </c>
      <c r="F157">
        <v>0.98331557019098403</v>
      </c>
      <c r="G157">
        <v>89.760639267922201</v>
      </c>
      <c r="H157">
        <v>83.470255728039106</v>
      </c>
      <c r="I157" t="str">
        <f t="shared" si="2"/>
        <v>flower</v>
      </c>
      <c r="J157" t="s">
        <v>982</v>
      </c>
    </row>
    <row r="158" spans="1:10" x14ac:dyDescent="0.2">
      <c r="A158" s="3" t="s">
        <v>418</v>
      </c>
      <c r="B158">
        <v>20.404296875</v>
      </c>
      <c r="C158">
        <v>297.73140614530502</v>
      </c>
      <c r="D158">
        <v>34.492898530544601</v>
      </c>
      <c r="E158">
        <v>40.4100547649467</v>
      </c>
      <c r="F158">
        <v>0.98284373222375199</v>
      </c>
      <c r="G158">
        <v>89.262795927982694</v>
      </c>
      <c r="H158">
        <v>83.190774450338694</v>
      </c>
      <c r="I158" t="str">
        <f t="shared" si="2"/>
        <v>flower</v>
      </c>
      <c r="J158" t="s">
        <v>982</v>
      </c>
    </row>
    <row r="159" spans="1:10" x14ac:dyDescent="0.2">
      <c r="A159" s="3" t="s">
        <v>419</v>
      </c>
      <c r="B159">
        <v>18.7001953125</v>
      </c>
      <c r="C159">
        <v>324.86291712360998</v>
      </c>
      <c r="D159">
        <v>34.219199757984804</v>
      </c>
      <c r="E159">
        <v>40.136397350746101</v>
      </c>
      <c r="F159">
        <v>0.98240572981674301</v>
      </c>
      <c r="G159">
        <v>88.722076375243503</v>
      </c>
      <c r="H159">
        <v>82.932568851925694</v>
      </c>
      <c r="I159" t="str">
        <f t="shared" si="2"/>
        <v>flower</v>
      </c>
      <c r="J159" t="s">
        <v>982</v>
      </c>
    </row>
    <row r="160" spans="1:10" x14ac:dyDescent="0.2">
      <c r="A160" s="3" t="s">
        <v>420</v>
      </c>
      <c r="B160">
        <v>17.2998046875</v>
      </c>
      <c r="C160">
        <v>351.16003386960199</v>
      </c>
      <c r="D160">
        <v>33.939259059960499</v>
      </c>
      <c r="E160">
        <v>39.857367491098998</v>
      </c>
      <c r="F160">
        <v>0.981784585999948</v>
      </c>
      <c r="G160">
        <v>88.170285395731398</v>
      </c>
      <c r="H160">
        <v>82.568426184962405</v>
      </c>
      <c r="I160" t="str">
        <f t="shared" si="2"/>
        <v>flower</v>
      </c>
      <c r="J160" t="s">
        <v>982</v>
      </c>
    </row>
    <row r="161" spans="1:10" x14ac:dyDescent="0.2">
      <c r="A161" s="3" t="s">
        <v>421</v>
      </c>
      <c r="B161">
        <v>16.00390625</v>
      </c>
      <c r="C161">
        <v>379.59482548206</v>
      </c>
      <c r="D161">
        <v>33.626190919568302</v>
      </c>
      <c r="E161">
        <v>39.546769798154301</v>
      </c>
      <c r="F161">
        <v>0.98132183417945495</v>
      </c>
      <c r="G161">
        <v>87.555430131195905</v>
      </c>
      <c r="H161">
        <v>82.298676454207893</v>
      </c>
      <c r="I161" t="str">
        <f t="shared" si="2"/>
        <v>flower</v>
      </c>
      <c r="J161" t="s">
        <v>982</v>
      </c>
    </row>
    <row r="162" spans="1:10" x14ac:dyDescent="0.2">
      <c r="A162" s="3" t="s">
        <v>486</v>
      </c>
      <c r="B162">
        <v>282.6826171875</v>
      </c>
      <c r="C162">
        <v>21.490532599570901</v>
      </c>
      <c r="D162">
        <v>32.384597154101797</v>
      </c>
      <c r="E162">
        <v>39.9321932436305</v>
      </c>
      <c r="F162">
        <v>0.97819212409802603</v>
      </c>
      <c r="G162">
        <v>88.318305236060993</v>
      </c>
      <c r="H162">
        <v>80.5082153085784</v>
      </c>
      <c r="I162" t="str">
        <f t="shared" si="2"/>
        <v>kitchen</v>
      </c>
      <c r="J162" t="s">
        <v>982</v>
      </c>
    </row>
    <row r="163" spans="1:10" x14ac:dyDescent="0.2">
      <c r="A163" s="3" t="s">
        <v>487</v>
      </c>
      <c r="B163">
        <v>239.32421875</v>
      </c>
      <c r="C163">
        <v>25.383975059983399</v>
      </c>
      <c r="D163">
        <v>31.7654234474264</v>
      </c>
      <c r="E163">
        <v>39.313379781103002</v>
      </c>
      <c r="F163">
        <v>0.97484386107338905</v>
      </c>
      <c r="G163">
        <v>87.092897722441606</v>
      </c>
      <c r="H163">
        <v>78.656568562866795</v>
      </c>
      <c r="I163" t="str">
        <f t="shared" si="2"/>
        <v>kitchen</v>
      </c>
      <c r="J163" t="s">
        <v>982</v>
      </c>
    </row>
    <row r="164" spans="1:10" x14ac:dyDescent="0.2">
      <c r="A164" s="3" t="s">
        <v>488</v>
      </c>
      <c r="B164">
        <v>199.9150390625</v>
      </c>
      <c r="C164">
        <v>30.387908926155198</v>
      </c>
      <c r="D164">
        <v>31.209837046706401</v>
      </c>
      <c r="E164">
        <v>38.757331983044097</v>
      </c>
      <c r="F164">
        <v>0.97138528148528003</v>
      </c>
      <c r="G164">
        <v>85.988718232906805</v>
      </c>
      <c r="H164">
        <v>76.810783316719395</v>
      </c>
      <c r="I164" t="str">
        <f t="shared" si="2"/>
        <v>kitchen</v>
      </c>
      <c r="J164" t="s">
        <v>982</v>
      </c>
    </row>
    <row r="165" spans="1:10" x14ac:dyDescent="0.2">
      <c r="A165" s="3" t="s">
        <v>489</v>
      </c>
      <c r="B165">
        <v>164.9560546875</v>
      </c>
      <c r="C165">
        <v>36.827990409377499</v>
      </c>
      <c r="D165">
        <v>30.707999307998801</v>
      </c>
      <c r="E165">
        <v>38.257018119029802</v>
      </c>
      <c r="F165">
        <v>0.96790083991404197</v>
      </c>
      <c r="G165">
        <v>84.991818307728295</v>
      </c>
      <c r="H165">
        <v>75.017410329045603</v>
      </c>
      <c r="I165" t="str">
        <f t="shared" si="2"/>
        <v>kitchen</v>
      </c>
      <c r="J165" t="s">
        <v>982</v>
      </c>
    </row>
    <row r="166" spans="1:10" x14ac:dyDescent="0.2">
      <c r="A166" s="3" t="s">
        <v>490</v>
      </c>
      <c r="B166">
        <v>135.525390625</v>
      </c>
      <c r="C166">
        <v>44.825548718096499</v>
      </c>
      <c r="D166">
        <v>30.269709386596599</v>
      </c>
      <c r="E166">
        <v>37.819579135209999</v>
      </c>
      <c r="F166">
        <v>0.96468169347933796</v>
      </c>
      <c r="G166">
        <v>84.116713613526997</v>
      </c>
      <c r="H166">
        <v>73.417510877649207</v>
      </c>
      <c r="I166" t="str">
        <f t="shared" si="2"/>
        <v>kitchen</v>
      </c>
      <c r="J166" t="s">
        <v>982</v>
      </c>
    </row>
    <row r="167" spans="1:10" x14ac:dyDescent="0.2">
      <c r="A167" s="3" t="s">
        <v>491</v>
      </c>
      <c r="B167">
        <v>111.158203125</v>
      </c>
      <c r="C167">
        <v>54.651837014390402</v>
      </c>
      <c r="D167">
        <v>29.8781729405036</v>
      </c>
      <c r="E167">
        <v>37.4278147696998</v>
      </c>
      <c r="F167">
        <v>0.96159601882134904</v>
      </c>
      <c r="G167">
        <v>83.329441758970304</v>
      </c>
      <c r="H167">
        <v>71.933478966633402</v>
      </c>
      <c r="I167" t="str">
        <f t="shared" si="2"/>
        <v>kitchen</v>
      </c>
      <c r="J167" t="s">
        <v>982</v>
      </c>
    </row>
    <row r="168" spans="1:10" x14ac:dyDescent="0.2">
      <c r="A168" s="3" t="s">
        <v>492</v>
      </c>
      <c r="B168">
        <v>91.9140625</v>
      </c>
      <c r="C168">
        <v>66.094347641309</v>
      </c>
      <c r="D168">
        <v>29.525874886057998</v>
      </c>
      <c r="E168">
        <v>37.077870292246402</v>
      </c>
      <c r="F168">
        <v>0.95887734967315297</v>
      </c>
      <c r="G168">
        <v>82.6226840589012</v>
      </c>
      <c r="H168">
        <v>70.664833935508298</v>
      </c>
      <c r="I168" t="str">
        <f t="shared" si="2"/>
        <v>kitchen</v>
      </c>
      <c r="J168" t="s">
        <v>982</v>
      </c>
    </row>
    <row r="169" spans="1:10" x14ac:dyDescent="0.2">
      <c r="A169" s="3" t="s">
        <v>493</v>
      </c>
      <c r="B169">
        <v>76.7978515625</v>
      </c>
      <c r="C169">
        <v>79.103775384341503</v>
      </c>
      <c r="D169">
        <v>29.201895707587401</v>
      </c>
      <c r="E169">
        <v>36.752897644286897</v>
      </c>
      <c r="F169">
        <v>0.95644580078554897</v>
      </c>
      <c r="G169">
        <v>81.962726223222305</v>
      </c>
      <c r="H169">
        <v>69.560110790198195</v>
      </c>
      <c r="I169" t="str">
        <f t="shared" si="2"/>
        <v>kitchen</v>
      </c>
      <c r="J169" t="s">
        <v>982</v>
      </c>
    </row>
    <row r="170" spans="1:10" x14ac:dyDescent="0.2">
      <c r="A170" s="3" t="s">
        <v>494</v>
      </c>
      <c r="B170">
        <v>65.8134765625</v>
      </c>
      <c r="C170">
        <v>92.3063226151084</v>
      </c>
      <c r="D170">
        <v>28.886204643705501</v>
      </c>
      <c r="E170">
        <v>36.437495175981702</v>
      </c>
      <c r="F170">
        <v>0.95420451407904905</v>
      </c>
      <c r="G170">
        <v>81.318180317830596</v>
      </c>
      <c r="H170">
        <v>68.566199847254893</v>
      </c>
      <c r="I170" t="str">
        <f t="shared" si="2"/>
        <v>kitchen</v>
      </c>
      <c r="J170" t="s">
        <v>982</v>
      </c>
    </row>
    <row r="171" spans="1:10" x14ac:dyDescent="0.2">
      <c r="A171" s="3" t="s">
        <v>495</v>
      </c>
      <c r="B171">
        <v>57.3134765625</v>
      </c>
      <c r="C171">
        <v>105.99601288146</v>
      </c>
      <c r="D171">
        <v>28.567492110584801</v>
      </c>
      <c r="E171">
        <v>36.120073262098899</v>
      </c>
      <c r="F171">
        <v>0.95194067312036301</v>
      </c>
      <c r="G171">
        <v>80.6647281653769</v>
      </c>
      <c r="H171">
        <v>67.585423476332195</v>
      </c>
      <c r="I171" t="str">
        <f t="shared" si="2"/>
        <v>kitchen</v>
      </c>
      <c r="J171" t="s">
        <v>982</v>
      </c>
    </row>
    <row r="172" spans="1:10" x14ac:dyDescent="0.2">
      <c r="A172" s="3" t="s">
        <v>496</v>
      </c>
      <c r="B172">
        <v>50.8330078125</v>
      </c>
      <c r="C172">
        <v>119.50896201947999</v>
      </c>
      <c r="D172">
        <v>28.2515307641028</v>
      </c>
      <c r="E172">
        <v>35.804512845453999</v>
      </c>
      <c r="F172">
        <v>0.95006510621172202</v>
      </c>
      <c r="G172">
        <v>80.009445573374805</v>
      </c>
      <c r="H172">
        <v>66.790065334995205</v>
      </c>
      <c r="I172" t="str">
        <f t="shared" si="2"/>
        <v>kitchen</v>
      </c>
      <c r="J172" t="s">
        <v>982</v>
      </c>
    </row>
    <row r="173" spans="1:10" x14ac:dyDescent="0.2">
      <c r="A173" s="3" t="s">
        <v>497</v>
      </c>
      <c r="B173">
        <v>45.5087890625</v>
      </c>
      <c r="C173">
        <v>133.49069762451401</v>
      </c>
      <c r="D173">
        <v>27.903971619663199</v>
      </c>
      <c r="E173">
        <v>35.4569585973979</v>
      </c>
      <c r="F173">
        <v>0.94773670269952204</v>
      </c>
      <c r="G173">
        <v>79.279900643221197</v>
      </c>
      <c r="H173">
        <v>65.823856967845799</v>
      </c>
      <c r="I173" t="str">
        <f t="shared" si="2"/>
        <v>kitchen</v>
      </c>
      <c r="J173" t="s">
        <v>982</v>
      </c>
    </row>
    <row r="174" spans="1:10" x14ac:dyDescent="0.2">
      <c r="A174" s="3" t="s">
        <v>498</v>
      </c>
      <c r="B174">
        <v>41.26953125</v>
      </c>
      <c r="C174">
        <v>147.20302886890701</v>
      </c>
      <c r="D174">
        <v>27.560991108440199</v>
      </c>
      <c r="E174">
        <v>35.1140418664802</v>
      </c>
      <c r="F174">
        <v>0.94531917437539104</v>
      </c>
      <c r="G174">
        <v>78.5504296968207</v>
      </c>
      <c r="H174">
        <v>64.844893314180595</v>
      </c>
      <c r="I174" t="str">
        <f t="shared" si="2"/>
        <v>kitchen</v>
      </c>
      <c r="J174" t="s">
        <v>982</v>
      </c>
    </row>
    <row r="175" spans="1:10" x14ac:dyDescent="0.2">
      <c r="A175" s="3" t="s">
        <v>499</v>
      </c>
      <c r="B175">
        <v>37.4560546875</v>
      </c>
      <c r="C175">
        <v>162.19006648416101</v>
      </c>
      <c r="D175">
        <v>27.195673286896302</v>
      </c>
      <c r="E175">
        <v>34.7472650491924</v>
      </c>
      <c r="F175">
        <v>0.94279257274454598</v>
      </c>
      <c r="G175">
        <v>77.757342618803904</v>
      </c>
      <c r="H175">
        <v>63.8474413665433</v>
      </c>
      <c r="I175" t="str">
        <f t="shared" si="2"/>
        <v>kitchen</v>
      </c>
      <c r="J175" t="s">
        <v>982</v>
      </c>
    </row>
    <row r="176" spans="1:10" x14ac:dyDescent="0.2">
      <c r="A176" s="3" t="s">
        <v>500</v>
      </c>
      <c r="B176">
        <v>33.76171875</v>
      </c>
      <c r="C176">
        <v>179.93752169385601</v>
      </c>
      <c r="D176">
        <v>26.776149823828501</v>
      </c>
      <c r="E176">
        <v>34.3310610682218</v>
      </c>
      <c r="F176">
        <v>0.93931749026688505</v>
      </c>
      <c r="G176">
        <v>76.837678167437403</v>
      </c>
      <c r="H176">
        <v>62.517110116394001</v>
      </c>
      <c r="I176" t="str">
        <f t="shared" si="2"/>
        <v>kitchen</v>
      </c>
      <c r="J176" t="s">
        <v>982</v>
      </c>
    </row>
    <row r="177" spans="1:10" x14ac:dyDescent="0.2">
      <c r="A177" s="3" t="s">
        <v>501</v>
      </c>
      <c r="B177">
        <v>31.0888671875</v>
      </c>
      <c r="C177">
        <v>195.40757028427799</v>
      </c>
      <c r="D177">
        <v>26.381357861022199</v>
      </c>
      <c r="E177">
        <v>33.934362374010597</v>
      </c>
      <c r="F177">
        <v>0.93627690019215704</v>
      </c>
      <c r="G177">
        <v>75.937114872889296</v>
      </c>
      <c r="H177">
        <v>61.391290147518198</v>
      </c>
      <c r="I177" t="str">
        <f t="shared" si="2"/>
        <v>kitchen</v>
      </c>
      <c r="J177" t="s">
        <v>982</v>
      </c>
    </row>
    <row r="178" spans="1:10" x14ac:dyDescent="0.2">
      <c r="A178" s="3" t="s">
        <v>502</v>
      </c>
      <c r="B178">
        <v>234.890625</v>
      </c>
      <c r="C178">
        <v>25.8631011774097</v>
      </c>
      <c r="D178">
        <v>34.541158780256801</v>
      </c>
      <c r="E178">
        <v>42.585878513972403</v>
      </c>
      <c r="F178">
        <v>0.98827607391706895</v>
      </c>
      <c r="G178">
        <v>93.552188149641793</v>
      </c>
      <c r="H178">
        <v>86.493698449142997</v>
      </c>
      <c r="I178" t="str">
        <f t="shared" si="2"/>
        <v>lemon</v>
      </c>
      <c r="J178" t="s">
        <v>982</v>
      </c>
    </row>
    <row r="179" spans="1:10" x14ac:dyDescent="0.2">
      <c r="A179" s="3" t="s">
        <v>503</v>
      </c>
      <c r="B179">
        <v>203.283203125</v>
      </c>
      <c r="C179">
        <v>29.8844169444952</v>
      </c>
      <c r="D179">
        <v>33.962236132481102</v>
      </c>
      <c r="E179">
        <v>42.007695679158402</v>
      </c>
      <c r="F179">
        <v>0.98707528644629094</v>
      </c>
      <c r="G179">
        <v>92.413546677777603</v>
      </c>
      <c r="H179">
        <v>85.747322312312207</v>
      </c>
      <c r="I179" t="str">
        <f t="shared" si="2"/>
        <v>lemon</v>
      </c>
      <c r="J179" t="s">
        <v>982</v>
      </c>
    </row>
    <row r="180" spans="1:10" x14ac:dyDescent="0.2">
      <c r="A180" s="3" t="s">
        <v>504</v>
      </c>
      <c r="B180">
        <v>176.8564453125</v>
      </c>
      <c r="C180">
        <v>34.349893153544201</v>
      </c>
      <c r="D180">
        <v>33.395230654901901</v>
      </c>
      <c r="E180">
        <v>41.4413873555131</v>
      </c>
      <c r="F180">
        <v>0.98576073901165695</v>
      </c>
      <c r="G180">
        <v>91.297626536617699</v>
      </c>
      <c r="H180">
        <v>84.940942447542994</v>
      </c>
      <c r="I180" t="str">
        <f t="shared" si="2"/>
        <v>lemon</v>
      </c>
      <c r="J180" t="s">
        <v>982</v>
      </c>
    </row>
    <row r="181" spans="1:10" x14ac:dyDescent="0.2">
      <c r="A181" s="3" t="s">
        <v>505</v>
      </c>
      <c r="B181">
        <v>152.189453125</v>
      </c>
      <c r="C181">
        <v>39.917352190038599</v>
      </c>
      <c r="D181">
        <v>32.833020319095503</v>
      </c>
      <c r="E181">
        <v>40.879062126109602</v>
      </c>
      <c r="F181">
        <v>0.98436088422946499</v>
      </c>
      <c r="G181">
        <v>90.188657103150902</v>
      </c>
      <c r="H181">
        <v>84.094366323543198</v>
      </c>
      <c r="I181" t="str">
        <f t="shared" si="2"/>
        <v>lemon</v>
      </c>
      <c r="J181" t="s">
        <v>982</v>
      </c>
    </row>
    <row r="182" spans="1:10" x14ac:dyDescent="0.2">
      <c r="A182" s="3" t="s">
        <v>506</v>
      </c>
      <c r="B182">
        <v>130.5693359375</v>
      </c>
      <c r="C182">
        <v>46.527003881737897</v>
      </c>
      <c r="D182">
        <v>32.303939653354497</v>
      </c>
      <c r="E182">
        <v>40.351113613928</v>
      </c>
      <c r="F182">
        <v>0.98291752234651797</v>
      </c>
      <c r="G182">
        <v>89.146368168120304</v>
      </c>
      <c r="H182">
        <v>83.234391042020704</v>
      </c>
      <c r="I182" t="str">
        <f t="shared" si="2"/>
        <v>lemon</v>
      </c>
      <c r="J182" t="s">
        <v>982</v>
      </c>
    </row>
    <row r="183" spans="1:10" x14ac:dyDescent="0.2">
      <c r="A183" s="3" t="s">
        <v>507</v>
      </c>
      <c r="B183">
        <v>111.576171875</v>
      </c>
      <c r="C183">
        <v>54.447109072767702</v>
      </c>
      <c r="D183">
        <v>31.775412780358199</v>
      </c>
      <c r="E183">
        <v>39.8222279321269</v>
      </c>
      <c r="F183">
        <v>0.98138764215339402</v>
      </c>
      <c r="G183">
        <v>88.100759289798006</v>
      </c>
      <c r="H183">
        <v>82.3369578615645</v>
      </c>
      <c r="I183" t="str">
        <f t="shared" si="2"/>
        <v>lemon</v>
      </c>
      <c r="J183" t="s">
        <v>982</v>
      </c>
    </row>
    <row r="184" spans="1:10" x14ac:dyDescent="0.2">
      <c r="A184" s="3" t="s">
        <v>508</v>
      </c>
      <c r="B184">
        <v>96.4619140625</v>
      </c>
      <c r="C184">
        <v>62.978223675552002</v>
      </c>
      <c r="D184">
        <v>31.2793219948</v>
      </c>
      <c r="E184">
        <v>39.326712860700297</v>
      </c>
      <c r="F184">
        <v>0.97969616284847105</v>
      </c>
      <c r="G184">
        <v>87.119334398901799</v>
      </c>
      <c r="H184">
        <v>81.361330948664104</v>
      </c>
      <c r="I184" t="str">
        <f t="shared" si="2"/>
        <v>lemon</v>
      </c>
      <c r="J184" t="s">
        <v>982</v>
      </c>
    </row>
    <row r="185" spans="1:10" x14ac:dyDescent="0.2">
      <c r="A185" s="3" t="s">
        <v>509</v>
      </c>
      <c r="B185">
        <v>83.18359375</v>
      </c>
      <c r="C185">
        <v>73.031227987790601</v>
      </c>
      <c r="D185">
        <v>30.777124639788301</v>
      </c>
      <c r="E185">
        <v>38.825059048265501</v>
      </c>
      <c r="F185">
        <v>0.97801793293120898</v>
      </c>
      <c r="G185">
        <v>86.123398074386301</v>
      </c>
      <c r="H185">
        <v>80.410276409700401</v>
      </c>
      <c r="I185" t="str">
        <f t="shared" si="2"/>
        <v>lemon</v>
      </c>
      <c r="J185" t="s">
        <v>982</v>
      </c>
    </row>
    <row r="186" spans="1:10" x14ac:dyDescent="0.2">
      <c r="A186" s="3" t="s">
        <v>510</v>
      </c>
      <c r="B186">
        <v>72.43359375</v>
      </c>
      <c r="C186">
        <v>83.869923960524204</v>
      </c>
      <c r="D186">
        <v>30.280561704627299</v>
      </c>
      <c r="E186">
        <v>38.329094404834798</v>
      </c>
      <c r="F186">
        <v>0.97621168590264196</v>
      </c>
      <c r="G186">
        <v>85.135671229255806</v>
      </c>
      <c r="H186">
        <v>79.405170738238695</v>
      </c>
      <c r="I186" t="str">
        <f t="shared" si="2"/>
        <v>lemon</v>
      </c>
      <c r="J186" t="s">
        <v>982</v>
      </c>
    </row>
    <row r="187" spans="1:10" x14ac:dyDescent="0.2">
      <c r="A187" s="3" t="s">
        <v>511</v>
      </c>
      <c r="B187">
        <v>63.2041015625</v>
      </c>
      <c r="C187">
        <v>96.1171798952427</v>
      </c>
      <c r="D187">
        <v>29.786587719411902</v>
      </c>
      <c r="E187">
        <v>37.835549766478003</v>
      </c>
      <c r="F187">
        <v>0.97404696033310001</v>
      </c>
      <c r="G187">
        <v>84.148730901175696</v>
      </c>
      <c r="H187">
        <v>78.225341104965096</v>
      </c>
      <c r="I187" t="str">
        <f t="shared" si="2"/>
        <v>lemon</v>
      </c>
      <c r="J187" t="s">
        <v>982</v>
      </c>
    </row>
    <row r="188" spans="1:10" x14ac:dyDescent="0.2">
      <c r="A188" s="3" t="s">
        <v>512</v>
      </c>
      <c r="B188">
        <v>55.7431640625</v>
      </c>
      <c r="C188">
        <v>108.981972985757</v>
      </c>
      <c r="D188">
        <v>29.3031868252816</v>
      </c>
      <c r="E188">
        <v>37.353438401818401</v>
      </c>
      <c r="F188">
        <v>0.97195168079640704</v>
      </c>
      <c r="G188">
        <v>83.179532079492702</v>
      </c>
      <c r="H188">
        <v>77.108511834760293</v>
      </c>
      <c r="I188" t="str">
        <f t="shared" si="2"/>
        <v>lemon</v>
      </c>
      <c r="J188" t="s">
        <v>982</v>
      </c>
    </row>
    <row r="189" spans="1:10" x14ac:dyDescent="0.2">
      <c r="A189" s="3" t="s">
        <v>513</v>
      </c>
      <c r="B189">
        <v>49.0732421875</v>
      </c>
      <c r="C189">
        <v>123.794551352212</v>
      </c>
      <c r="D189">
        <v>28.8128150878375</v>
      </c>
      <c r="E189">
        <v>36.862421278537703</v>
      </c>
      <c r="F189">
        <v>0.96958159729842097</v>
      </c>
      <c r="G189">
        <v>82.185581425642098</v>
      </c>
      <c r="H189">
        <v>75.874322504840606</v>
      </c>
      <c r="I189" t="str">
        <f t="shared" si="2"/>
        <v>lemon</v>
      </c>
      <c r="J189" t="s">
        <v>982</v>
      </c>
    </row>
    <row r="190" spans="1:10" x14ac:dyDescent="0.2">
      <c r="A190" s="3" t="s">
        <v>514</v>
      </c>
      <c r="B190">
        <v>43.1162109375</v>
      </c>
      <c r="C190">
        <v>140.89828089964001</v>
      </c>
      <c r="D190">
        <v>28.312654374735899</v>
      </c>
      <c r="E190">
        <v>36.365083312174598</v>
      </c>
      <c r="F190">
        <v>0.96706485498544603</v>
      </c>
      <c r="G190">
        <v>81.169564278726497</v>
      </c>
      <c r="H190">
        <v>74.596756145304397</v>
      </c>
      <c r="I190" t="str">
        <f t="shared" si="2"/>
        <v>lemon</v>
      </c>
      <c r="J190" t="s">
        <v>982</v>
      </c>
    </row>
    <row r="191" spans="1:10" x14ac:dyDescent="0.2">
      <c r="A191" s="3" t="s">
        <v>515</v>
      </c>
      <c r="B191">
        <v>38.28125</v>
      </c>
      <c r="C191">
        <v>158.69387755101999</v>
      </c>
      <c r="D191">
        <v>27.826476671934898</v>
      </c>
      <c r="E191">
        <v>35.876985666464002</v>
      </c>
      <c r="F191">
        <v>0.96441690776626299</v>
      </c>
      <c r="G191">
        <v>80.160492987564595</v>
      </c>
      <c r="H191">
        <v>73.2882865188772</v>
      </c>
      <c r="I191" t="str">
        <f t="shared" si="2"/>
        <v>lemon</v>
      </c>
      <c r="J191" t="s">
        <v>982</v>
      </c>
    </row>
    <row r="192" spans="1:10" x14ac:dyDescent="0.2">
      <c r="A192" s="3" t="s">
        <v>516</v>
      </c>
      <c r="B192">
        <v>33.7607421875</v>
      </c>
      <c r="C192">
        <v>179.94272656272599</v>
      </c>
      <c r="D192">
        <v>27.319932533988499</v>
      </c>
      <c r="E192">
        <v>35.373541580662902</v>
      </c>
      <c r="F192">
        <v>0.96166615513399301</v>
      </c>
      <c r="G192">
        <v>79.103404529115195</v>
      </c>
      <c r="H192">
        <v>71.966684117641506</v>
      </c>
      <c r="I192" t="str">
        <f t="shared" si="2"/>
        <v>lemon</v>
      </c>
      <c r="J192" t="s">
        <v>982</v>
      </c>
    </row>
    <row r="193" spans="1:10" x14ac:dyDescent="0.2">
      <c r="A193" s="3" t="s">
        <v>517</v>
      </c>
      <c r="B193">
        <v>29.98046875</v>
      </c>
      <c r="C193">
        <v>202.63192182410401</v>
      </c>
      <c r="D193">
        <v>26.8374098198985</v>
      </c>
      <c r="E193">
        <v>34.888676053350203</v>
      </c>
      <c r="F193">
        <v>0.95849446504467795</v>
      </c>
      <c r="G193">
        <v>78.064857542374398</v>
      </c>
      <c r="H193">
        <v>70.489024260430398</v>
      </c>
      <c r="I193" t="str">
        <f t="shared" si="2"/>
        <v>lemon</v>
      </c>
      <c r="J193" t="s">
        <v>982</v>
      </c>
    </row>
    <row r="194" spans="1:10" x14ac:dyDescent="0.2">
      <c r="A194" s="3" t="s">
        <v>518</v>
      </c>
      <c r="B194">
        <v>336.203125</v>
      </c>
      <c r="C194">
        <v>18.0694334712088</v>
      </c>
      <c r="D194">
        <v>33.082746603110998</v>
      </c>
      <c r="E194">
        <v>41.875671025247698</v>
      </c>
      <c r="F194">
        <v>0.994983322940308</v>
      </c>
      <c r="G194">
        <v>92.153456608339397</v>
      </c>
      <c r="H194">
        <v>90.840204188345098</v>
      </c>
      <c r="I194" t="str">
        <f t="shared" si="2"/>
        <v>pcgame</v>
      </c>
      <c r="J194" t="s">
        <v>982</v>
      </c>
    </row>
    <row r="195" spans="1:10" x14ac:dyDescent="0.2">
      <c r="A195" s="3" t="s">
        <v>519</v>
      </c>
      <c r="B195">
        <v>314.408203125</v>
      </c>
      <c r="C195">
        <v>19.322014946234599</v>
      </c>
      <c r="D195">
        <v>32.198600456261502</v>
      </c>
      <c r="E195">
        <v>40.992393129148802</v>
      </c>
      <c r="F195">
        <v>0.99401531567578005</v>
      </c>
      <c r="G195">
        <v>90.412245500480907</v>
      </c>
      <c r="H195">
        <v>90.193857548536897</v>
      </c>
      <c r="I195" t="str">
        <f t="shared" ref="I195:I258" si="3">MID(A195,1,(FIND("yuv",A195))-1)</f>
        <v>pcgame</v>
      </c>
      <c r="J195" t="s">
        <v>982</v>
      </c>
    </row>
    <row r="196" spans="1:10" x14ac:dyDescent="0.2">
      <c r="A196" s="3" t="s">
        <v>520</v>
      </c>
      <c r="B196">
        <v>292.123046875</v>
      </c>
      <c r="C196">
        <v>20.796031210093101</v>
      </c>
      <c r="D196">
        <v>31.2448604649516</v>
      </c>
      <c r="E196">
        <v>40.040126267919902</v>
      </c>
      <c r="F196">
        <v>0.992854405247526</v>
      </c>
      <c r="G196">
        <v>88.531752770481106</v>
      </c>
      <c r="H196">
        <v>89.427318214807698</v>
      </c>
      <c r="I196" t="str">
        <f t="shared" si="3"/>
        <v>pcgame</v>
      </c>
      <c r="J196" t="s">
        <v>982</v>
      </c>
    </row>
    <row r="197" spans="1:10" x14ac:dyDescent="0.2">
      <c r="A197" s="3" t="s">
        <v>521</v>
      </c>
      <c r="B197">
        <v>270.03515625</v>
      </c>
      <c r="C197">
        <v>22.497070693920101</v>
      </c>
      <c r="D197">
        <v>30.346686196941398</v>
      </c>
      <c r="E197">
        <v>39.1431885497095</v>
      </c>
      <c r="F197">
        <v>0.991522362789792</v>
      </c>
      <c r="G197">
        <v>86.755293167110494</v>
      </c>
      <c r="H197">
        <v>88.559210968926195</v>
      </c>
      <c r="I197" t="str">
        <f t="shared" si="3"/>
        <v>pcgame</v>
      </c>
      <c r="J197" t="s">
        <v>982</v>
      </c>
    </row>
    <row r="198" spans="1:10" x14ac:dyDescent="0.2">
      <c r="A198" s="3" t="s">
        <v>522</v>
      </c>
      <c r="B198">
        <v>247.775390625</v>
      </c>
      <c r="C198">
        <v>24.518173433915901</v>
      </c>
      <c r="D198">
        <v>29.48020892413</v>
      </c>
      <c r="E198">
        <v>38.279276671294603</v>
      </c>
      <c r="F198">
        <v>0.98988386606729195</v>
      </c>
      <c r="G198">
        <v>85.036252188623095</v>
      </c>
      <c r="H198">
        <v>87.507893842648897</v>
      </c>
      <c r="I198" t="str">
        <f t="shared" si="3"/>
        <v>pcgame</v>
      </c>
      <c r="J198" t="s">
        <v>982</v>
      </c>
    </row>
    <row r="199" spans="1:10" x14ac:dyDescent="0.2">
      <c r="A199" s="3" t="s">
        <v>523</v>
      </c>
      <c r="B199">
        <v>226.1796875</v>
      </c>
      <c r="C199">
        <v>26.8591758488481</v>
      </c>
      <c r="D199">
        <v>28.6574959341024</v>
      </c>
      <c r="E199">
        <v>37.458105316984899</v>
      </c>
      <c r="F199">
        <v>0.98809108376235599</v>
      </c>
      <c r="G199">
        <v>83.390450425751993</v>
      </c>
      <c r="H199">
        <v>86.378100219322505</v>
      </c>
      <c r="I199" t="str">
        <f t="shared" si="3"/>
        <v>pcgame</v>
      </c>
      <c r="J199" t="s">
        <v>982</v>
      </c>
    </row>
    <row r="200" spans="1:10" x14ac:dyDescent="0.2">
      <c r="A200" s="3" t="s">
        <v>524</v>
      </c>
      <c r="B200">
        <v>205.8505859375</v>
      </c>
      <c r="C200">
        <v>29.511696419676401</v>
      </c>
      <c r="D200">
        <v>27.860161686626601</v>
      </c>
      <c r="E200">
        <v>36.663548055864403</v>
      </c>
      <c r="F200">
        <v>0.98604645950888603</v>
      </c>
      <c r="G200">
        <v>81.780568095954493</v>
      </c>
      <c r="H200">
        <v>85.115267023044893</v>
      </c>
      <c r="I200" t="str">
        <f t="shared" si="3"/>
        <v>pcgame</v>
      </c>
      <c r="J200" t="s">
        <v>982</v>
      </c>
    </row>
    <row r="201" spans="1:10" x14ac:dyDescent="0.2">
      <c r="A201" s="3" t="s">
        <v>525</v>
      </c>
      <c r="B201">
        <v>186.6904296875</v>
      </c>
      <c r="C201">
        <v>32.540500389703503</v>
      </c>
      <c r="D201">
        <v>27.053339164075901</v>
      </c>
      <c r="E201">
        <v>35.858537651499098</v>
      </c>
      <c r="F201">
        <v>0.983756970582784</v>
      </c>
      <c r="G201">
        <v>80.122076530315695</v>
      </c>
      <c r="H201">
        <v>83.732962363399807</v>
      </c>
      <c r="I201" t="str">
        <f t="shared" si="3"/>
        <v>pcgame</v>
      </c>
      <c r="J201" t="s">
        <v>982</v>
      </c>
    </row>
    <row r="202" spans="1:10" x14ac:dyDescent="0.2">
      <c r="A202" s="3" t="s">
        <v>526</v>
      </c>
      <c r="B202">
        <v>168.3740234375</v>
      </c>
      <c r="C202">
        <v>36.080387437287897</v>
      </c>
      <c r="D202">
        <v>26.250659522308901</v>
      </c>
      <c r="E202">
        <v>35.057967861340302</v>
      </c>
      <c r="F202">
        <v>0.98106961469410303</v>
      </c>
      <c r="G202">
        <v>78.430102841840593</v>
      </c>
      <c r="H202">
        <v>82.152201078430394</v>
      </c>
      <c r="I202" t="str">
        <f t="shared" si="3"/>
        <v>pcgame</v>
      </c>
      <c r="J202" t="s">
        <v>982</v>
      </c>
    </row>
    <row r="203" spans="1:10" x14ac:dyDescent="0.2">
      <c r="A203" s="3" t="s">
        <v>527</v>
      </c>
      <c r="B203">
        <v>150.8056640625</v>
      </c>
      <c r="C203">
        <v>40.2836328314716</v>
      </c>
      <c r="D203">
        <v>25.448818829625299</v>
      </c>
      <c r="E203">
        <v>34.2600916018825</v>
      </c>
      <c r="F203">
        <v>0.97810154001055205</v>
      </c>
      <c r="G203">
        <v>76.678434953363805</v>
      </c>
      <c r="H203">
        <v>80.457262162293105</v>
      </c>
      <c r="I203" t="str">
        <f t="shared" si="3"/>
        <v>pcgame</v>
      </c>
      <c r="J203" t="s">
        <v>982</v>
      </c>
    </row>
    <row r="204" spans="1:10" x14ac:dyDescent="0.2">
      <c r="A204" s="3" t="s">
        <v>528</v>
      </c>
      <c r="B204">
        <v>134.9755859375</v>
      </c>
      <c r="C204">
        <v>45.008139492819197</v>
      </c>
      <c r="D204">
        <v>24.664558060536201</v>
      </c>
      <c r="E204">
        <v>33.4779452246609</v>
      </c>
      <c r="F204">
        <v>0.97469344045575002</v>
      </c>
      <c r="G204">
        <v>74.864904896994702</v>
      </c>
      <c r="H204">
        <v>78.574895995752101</v>
      </c>
      <c r="I204" t="str">
        <f t="shared" si="3"/>
        <v>pcgame</v>
      </c>
      <c r="J204" t="s">
        <v>982</v>
      </c>
    </row>
    <row r="205" spans="1:10" x14ac:dyDescent="0.2">
      <c r="A205" s="3" t="s">
        <v>529</v>
      </c>
      <c r="B205">
        <v>120.04296875</v>
      </c>
      <c r="C205">
        <v>50.606879047216196</v>
      </c>
      <c r="D205">
        <v>23.917152020322899</v>
      </c>
      <c r="E205">
        <v>32.735808874989701</v>
      </c>
      <c r="F205">
        <v>0.97113121002458602</v>
      </c>
      <c r="G205">
        <v>73.013599145837802</v>
      </c>
      <c r="H205">
        <v>76.677801512031905</v>
      </c>
      <c r="I205" t="str">
        <f t="shared" si="3"/>
        <v>pcgame</v>
      </c>
      <c r="J205" t="s">
        <v>982</v>
      </c>
    </row>
    <row r="206" spans="1:10" x14ac:dyDescent="0.2">
      <c r="A206" s="3" t="s">
        <v>530</v>
      </c>
      <c r="B206">
        <v>106.6640625</v>
      </c>
      <c r="C206">
        <v>56.954515491100899</v>
      </c>
      <c r="D206">
        <v>23.152742917024302</v>
      </c>
      <c r="E206">
        <v>31.975739548962299</v>
      </c>
      <c r="F206">
        <v>0.96692044177275904</v>
      </c>
      <c r="G206">
        <v>70.9285990237492</v>
      </c>
      <c r="H206">
        <v>74.524460412354102</v>
      </c>
      <c r="I206" t="str">
        <f t="shared" si="3"/>
        <v>pcgame</v>
      </c>
      <c r="J206" t="s">
        <v>982</v>
      </c>
    </row>
    <row r="207" spans="1:10" x14ac:dyDescent="0.2">
      <c r="A207" s="3" t="s">
        <v>531</v>
      </c>
      <c r="B207">
        <v>95.267578125</v>
      </c>
      <c r="C207">
        <v>63.767759394796698</v>
      </c>
      <c r="D207">
        <v>22.4294018155279</v>
      </c>
      <c r="E207">
        <v>31.257332117153901</v>
      </c>
      <c r="F207">
        <v>0.96259182576179503</v>
      </c>
      <c r="G207">
        <v>68.717219294986194</v>
      </c>
      <c r="H207">
        <v>72.407207871629694</v>
      </c>
      <c r="I207" t="str">
        <f t="shared" si="3"/>
        <v>pcgame</v>
      </c>
      <c r="J207" t="s">
        <v>982</v>
      </c>
    </row>
    <row r="208" spans="1:10" x14ac:dyDescent="0.2">
      <c r="A208" s="3" t="s">
        <v>532</v>
      </c>
      <c r="B208">
        <v>84.361328125</v>
      </c>
      <c r="C208">
        <v>72.011668557405102</v>
      </c>
      <c r="D208">
        <v>21.7355812876723</v>
      </c>
      <c r="E208">
        <v>30.570170147172998</v>
      </c>
      <c r="F208">
        <v>0.95760813379215204</v>
      </c>
      <c r="G208">
        <v>66.319530813932801</v>
      </c>
      <c r="H208">
        <v>70.084716615796907</v>
      </c>
      <c r="I208" t="str">
        <f t="shared" si="3"/>
        <v>pcgame</v>
      </c>
      <c r="J208" t="s">
        <v>982</v>
      </c>
    </row>
    <row r="209" spans="1:10" x14ac:dyDescent="0.2">
      <c r="A209" s="3" t="s">
        <v>533</v>
      </c>
      <c r="B209">
        <v>74.62109375</v>
      </c>
      <c r="C209">
        <v>81.4112966549757</v>
      </c>
      <c r="D209">
        <v>21.0461064770032</v>
      </c>
      <c r="E209">
        <v>29.8812176780919</v>
      </c>
      <c r="F209">
        <v>0.95253841450273002</v>
      </c>
      <c r="G209">
        <v>63.584778544857997</v>
      </c>
      <c r="H209">
        <v>67.842159336352793</v>
      </c>
      <c r="I209" t="str">
        <f t="shared" si="3"/>
        <v>pcgame</v>
      </c>
      <c r="J209" t="s">
        <v>982</v>
      </c>
    </row>
    <row r="210" spans="1:10" x14ac:dyDescent="0.2">
      <c r="A210" s="3" t="s">
        <v>534</v>
      </c>
      <c r="B210">
        <v>286.52734375</v>
      </c>
      <c r="C210">
        <v>21.202164932993401</v>
      </c>
      <c r="D210">
        <v>40.866091449224299</v>
      </c>
      <c r="E210">
        <v>42.980367260538898</v>
      </c>
      <c r="F210">
        <v>0.99317054175766994</v>
      </c>
      <c r="G210">
        <v>94.328779840637395</v>
      </c>
      <c r="H210">
        <v>89.635135971714803</v>
      </c>
      <c r="I210" t="str">
        <f t="shared" si="3"/>
        <v>pc_desktop</v>
      </c>
      <c r="J210" t="s">
        <v>982</v>
      </c>
    </row>
    <row r="211" spans="1:10" x14ac:dyDescent="0.2">
      <c r="A211" s="3" t="s">
        <v>535</v>
      </c>
      <c r="B211">
        <v>268.2080078125</v>
      </c>
      <c r="C211">
        <v>22.6503304265506</v>
      </c>
      <c r="D211">
        <v>40.0785196694601</v>
      </c>
      <c r="E211">
        <v>42.193288780250803</v>
      </c>
      <c r="F211">
        <v>0.99220174194563404</v>
      </c>
      <c r="G211">
        <v>92.779107796344704</v>
      </c>
      <c r="H211">
        <v>89.000453735500301</v>
      </c>
      <c r="I211" t="str">
        <f t="shared" si="3"/>
        <v>pc_desktop</v>
      </c>
      <c r="J211" t="s">
        <v>982</v>
      </c>
    </row>
    <row r="212" spans="1:10" x14ac:dyDescent="0.2">
      <c r="A212" s="3" t="s">
        <v>536</v>
      </c>
      <c r="B212">
        <v>251.2314453125</v>
      </c>
      <c r="C212">
        <v>24.180890224324699</v>
      </c>
      <c r="D212">
        <v>39.2948066608811</v>
      </c>
      <c r="E212">
        <v>41.409992881526797</v>
      </c>
      <c r="F212">
        <v>0.99111187212476104</v>
      </c>
      <c r="G212">
        <v>91.235739318136197</v>
      </c>
      <c r="H212">
        <v>88.294126336264299</v>
      </c>
      <c r="I212" t="str">
        <f t="shared" si="3"/>
        <v>pc_desktop</v>
      </c>
      <c r="J212" t="s">
        <v>982</v>
      </c>
    </row>
    <row r="213" spans="1:10" x14ac:dyDescent="0.2">
      <c r="A213" s="3" t="s">
        <v>537</v>
      </c>
      <c r="B213">
        <v>234.7138671875</v>
      </c>
      <c r="C213">
        <v>25.882578105821999</v>
      </c>
      <c r="D213">
        <v>38.501396446796001</v>
      </c>
      <c r="E213">
        <v>40.617747311220903</v>
      </c>
      <c r="F213">
        <v>0.98988389855307302</v>
      </c>
      <c r="G213">
        <v>89.672919674178104</v>
      </c>
      <c r="H213">
        <v>87.507914508004703</v>
      </c>
      <c r="I213" t="str">
        <f t="shared" si="3"/>
        <v>pc_desktop</v>
      </c>
      <c r="J213" t="s">
        <v>982</v>
      </c>
    </row>
    <row r="214" spans="1:10" x14ac:dyDescent="0.2">
      <c r="A214" s="3" t="s">
        <v>538</v>
      </c>
      <c r="B214">
        <v>218.912109375</v>
      </c>
      <c r="C214">
        <v>27.750863199593201</v>
      </c>
      <c r="D214">
        <v>37.718051650898303</v>
      </c>
      <c r="E214">
        <v>39.834414791358498</v>
      </c>
      <c r="F214">
        <v>0.98840677981853897</v>
      </c>
      <c r="G214">
        <v>88.124872830676694</v>
      </c>
      <c r="H214">
        <v>86.575510421603894</v>
      </c>
      <c r="I214" t="str">
        <f t="shared" si="3"/>
        <v>pc_desktop</v>
      </c>
      <c r="J214" t="s">
        <v>982</v>
      </c>
    </row>
    <row r="215" spans="1:10" x14ac:dyDescent="0.2">
      <c r="A215" s="3" t="s">
        <v>539</v>
      </c>
      <c r="B215">
        <v>203.943359375</v>
      </c>
      <c r="C215">
        <v>29.787682318352001</v>
      </c>
      <c r="D215">
        <v>36.919848501204399</v>
      </c>
      <c r="E215">
        <v>39.037041638553397</v>
      </c>
      <c r="F215">
        <v>0.98678832546352802</v>
      </c>
      <c r="G215">
        <v>86.544581744201494</v>
      </c>
      <c r="H215">
        <v>85.570342726976804</v>
      </c>
      <c r="I215" t="str">
        <f t="shared" si="3"/>
        <v>pc_desktop</v>
      </c>
      <c r="J215" t="s">
        <v>982</v>
      </c>
    </row>
    <row r="216" spans="1:10" x14ac:dyDescent="0.2">
      <c r="A216" s="3" t="s">
        <v>540</v>
      </c>
      <c r="B216">
        <v>189.4716796875</v>
      </c>
      <c r="C216">
        <v>32.062839206469498</v>
      </c>
      <c r="D216">
        <v>36.111413674319401</v>
      </c>
      <c r="E216">
        <v>38.230248348314703</v>
      </c>
      <c r="F216">
        <v>0.984788624564223</v>
      </c>
      <c r="G216">
        <v>84.9383676260111</v>
      </c>
      <c r="H216">
        <v>84.351729516890799</v>
      </c>
      <c r="I216" t="str">
        <f t="shared" si="3"/>
        <v>pc_desktop</v>
      </c>
      <c r="J216" t="s">
        <v>982</v>
      </c>
    </row>
    <row r="217" spans="1:10" x14ac:dyDescent="0.2">
      <c r="A217" s="3" t="s">
        <v>541</v>
      </c>
      <c r="B217">
        <v>176.4697265625</v>
      </c>
      <c r="C217">
        <v>34.425168091641098</v>
      </c>
      <c r="D217">
        <v>35.329327536196402</v>
      </c>
      <c r="E217">
        <v>37.448066029476003</v>
      </c>
      <c r="F217">
        <v>0.98271023459648299</v>
      </c>
      <c r="G217">
        <v>83.370232886141295</v>
      </c>
      <c r="H217">
        <v>83.111951021816395</v>
      </c>
      <c r="I217" t="str">
        <f t="shared" si="3"/>
        <v>pc_desktop</v>
      </c>
      <c r="J217" t="s">
        <v>982</v>
      </c>
    </row>
    <row r="218" spans="1:10" x14ac:dyDescent="0.2">
      <c r="A218" s="3" t="s">
        <v>542</v>
      </c>
      <c r="B218">
        <v>163.25390625</v>
      </c>
      <c r="C218">
        <v>37.211973296963599</v>
      </c>
      <c r="D218">
        <v>34.494256617262302</v>
      </c>
      <c r="E218">
        <v>36.614931781660701</v>
      </c>
      <c r="F218">
        <v>0.98033737530080201</v>
      </c>
      <c r="G218">
        <v>81.681314209022204</v>
      </c>
      <c r="H218">
        <v>81.729142433335696</v>
      </c>
      <c r="I218" t="str">
        <f t="shared" si="3"/>
        <v>pc_desktop</v>
      </c>
      <c r="J218" t="s">
        <v>982</v>
      </c>
    </row>
    <row r="219" spans="1:10" x14ac:dyDescent="0.2">
      <c r="A219" s="3" t="s">
        <v>543</v>
      </c>
      <c r="B219">
        <v>151.3251953125</v>
      </c>
      <c r="C219">
        <v>40.145330640113102</v>
      </c>
      <c r="D219">
        <v>33.722914527398103</v>
      </c>
      <c r="E219">
        <v>35.844229945184601</v>
      </c>
      <c r="F219">
        <v>0.977691612304743</v>
      </c>
      <c r="G219">
        <v>80.092266617855998</v>
      </c>
      <c r="H219">
        <v>80.227282728457794</v>
      </c>
      <c r="I219" t="str">
        <f t="shared" si="3"/>
        <v>pc_desktop</v>
      </c>
      <c r="J219" t="s">
        <v>982</v>
      </c>
    </row>
    <row r="220" spans="1:10" x14ac:dyDescent="0.2">
      <c r="A220" s="3" t="s">
        <v>544</v>
      </c>
      <c r="B220">
        <v>139.734375</v>
      </c>
      <c r="C220">
        <v>43.475343844347499</v>
      </c>
      <c r="D220">
        <v>32.927988769247399</v>
      </c>
      <c r="E220">
        <v>35.050882751677698</v>
      </c>
      <c r="F220">
        <v>0.97474993944437205</v>
      </c>
      <c r="G220">
        <v>78.414876776356607</v>
      </c>
      <c r="H220">
        <v>78.605557693771104</v>
      </c>
      <c r="I220" t="str">
        <f t="shared" si="3"/>
        <v>pc_desktop</v>
      </c>
      <c r="J220" t="s">
        <v>982</v>
      </c>
    </row>
    <row r="221" spans="1:10" x14ac:dyDescent="0.2">
      <c r="A221" s="3" t="s">
        <v>545</v>
      </c>
      <c r="B221">
        <v>129.0458984375</v>
      </c>
      <c r="C221">
        <v>47.076273431055803</v>
      </c>
      <c r="D221">
        <v>32.132206740600097</v>
      </c>
      <c r="E221">
        <v>34.256193250945898</v>
      </c>
      <c r="F221">
        <v>0.97133156092498896</v>
      </c>
      <c r="G221">
        <v>76.669665447694399</v>
      </c>
      <c r="H221">
        <v>76.782636381021803</v>
      </c>
      <c r="I221" t="str">
        <f t="shared" si="3"/>
        <v>pc_desktop</v>
      </c>
      <c r="J221" t="s">
        <v>982</v>
      </c>
    </row>
    <row r="222" spans="1:10" x14ac:dyDescent="0.2">
      <c r="A222" s="3" t="s">
        <v>546</v>
      </c>
      <c r="B222">
        <v>118.6015625</v>
      </c>
      <c r="C222">
        <v>51.221922139516501</v>
      </c>
      <c r="D222">
        <v>31.354799693331699</v>
      </c>
      <c r="E222">
        <v>33.478218905105699</v>
      </c>
      <c r="F222">
        <v>0.96804250474561504</v>
      </c>
      <c r="G222">
        <v>74.865561151947603</v>
      </c>
      <c r="H222">
        <v>75.0890578755359</v>
      </c>
      <c r="I222" t="str">
        <f t="shared" si="3"/>
        <v>pc_desktop</v>
      </c>
      <c r="J222" t="s">
        <v>982</v>
      </c>
    </row>
    <row r="223" spans="1:10" x14ac:dyDescent="0.2">
      <c r="A223" s="3" t="s">
        <v>547</v>
      </c>
      <c r="B223">
        <v>108.4150390625</v>
      </c>
      <c r="C223">
        <v>56.034661358170403</v>
      </c>
      <c r="D223">
        <v>30.503862020947199</v>
      </c>
      <c r="E223">
        <v>32.632259097156002</v>
      </c>
      <c r="F223">
        <v>0.96298090372748801</v>
      </c>
      <c r="G223">
        <v>72.742241896124398</v>
      </c>
      <c r="H223">
        <v>72.593638683056298</v>
      </c>
      <c r="I223" t="str">
        <f t="shared" si="3"/>
        <v>pc_desktop</v>
      </c>
      <c r="J223" t="s">
        <v>982</v>
      </c>
    </row>
    <row r="224" spans="1:10" x14ac:dyDescent="0.2">
      <c r="A224" s="3" t="s">
        <v>548</v>
      </c>
      <c r="B224">
        <v>99.2080078125</v>
      </c>
      <c r="C224">
        <v>61.2349762277412</v>
      </c>
      <c r="D224">
        <v>29.7440213528497</v>
      </c>
      <c r="E224">
        <v>31.872892810835999</v>
      </c>
      <c r="F224">
        <v>0.95811897549580105</v>
      </c>
      <c r="G224">
        <v>70.628001234934601</v>
      </c>
      <c r="H224">
        <v>70.317287406018096</v>
      </c>
      <c r="I224" t="str">
        <f t="shared" si="3"/>
        <v>pc_desktop</v>
      </c>
      <c r="J224" t="s">
        <v>982</v>
      </c>
    </row>
    <row r="225" spans="1:10" x14ac:dyDescent="0.2">
      <c r="A225" s="3" t="s">
        <v>549</v>
      </c>
      <c r="B225">
        <v>90.599609375</v>
      </c>
      <c r="C225">
        <v>67.053269234914893</v>
      </c>
      <c r="D225">
        <v>28.949700154697599</v>
      </c>
      <c r="E225">
        <v>31.081358371132499</v>
      </c>
      <c r="F225">
        <v>0.95195856433577397</v>
      </c>
      <c r="G225">
        <v>68.131936990599499</v>
      </c>
      <c r="H225">
        <v>67.593084923873207</v>
      </c>
      <c r="I225" t="str">
        <f t="shared" si="3"/>
        <v>pc_desktop</v>
      </c>
      <c r="J225" t="s">
        <v>982</v>
      </c>
    </row>
    <row r="226" spans="1:10" x14ac:dyDescent="0.2">
      <c r="A226" s="3" t="s">
        <v>550</v>
      </c>
      <c r="B226">
        <v>359.3037109375</v>
      </c>
      <c r="C226">
        <v>16.907701799541801</v>
      </c>
      <c r="D226">
        <v>34.589497825613599</v>
      </c>
      <c r="E226">
        <v>41.118474005778602</v>
      </c>
      <c r="F226">
        <v>0.99634058756004995</v>
      </c>
      <c r="G226">
        <v>90.660933262770399</v>
      </c>
      <c r="H226">
        <v>91.757591877906407</v>
      </c>
      <c r="I226" t="str">
        <f t="shared" si="3"/>
        <v>rainier</v>
      </c>
      <c r="J226" t="s">
        <v>982</v>
      </c>
    </row>
    <row r="227" spans="1:10" x14ac:dyDescent="0.2">
      <c r="A227" s="3" t="s">
        <v>551</v>
      </c>
      <c r="B227">
        <v>339.1806640625</v>
      </c>
      <c r="C227">
        <v>17.910808733131599</v>
      </c>
      <c r="D227">
        <v>33.899519041855498</v>
      </c>
      <c r="E227">
        <v>40.428709764999397</v>
      </c>
      <c r="F227">
        <v>0.995649283098203</v>
      </c>
      <c r="G227">
        <v>89.299641881306002</v>
      </c>
      <c r="H227">
        <v>91.288699816855797</v>
      </c>
      <c r="I227" t="str">
        <f t="shared" si="3"/>
        <v>rainier</v>
      </c>
      <c r="J227" t="s">
        <v>982</v>
      </c>
    </row>
    <row r="228" spans="1:10" x14ac:dyDescent="0.2">
      <c r="A228" s="3" t="s">
        <v>552</v>
      </c>
      <c r="B228">
        <v>319.4306640625</v>
      </c>
      <c r="C228">
        <v>19.018211723128001</v>
      </c>
      <c r="D228">
        <v>33.012470465016598</v>
      </c>
      <c r="E228">
        <v>39.542623378311099</v>
      </c>
      <c r="F228">
        <v>0.99473048817788501</v>
      </c>
      <c r="G228">
        <v>87.547216852807594</v>
      </c>
      <c r="H228">
        <v>90.670750159297995</v>
      </c>
      <c r="I228" t="str">
        <f t="shared" si="3"/>
        <v>rainier</v>
      </c>
      <c r="J228" t="s">
        <v>982</v>
      </c>
    </row>
    <row r="229" spans="1:10" x14ac:dyDescent="0.2">
      <c r="A229" s="3" t="s">
        <v>553</v>
      </c>
      <c r="B229">
        <v>301.080078125</v>
      </c>
      <c r="C229">
        <v>20.1773562629336</v>
      </c>
      <c r="D229">
        <v>32.0483428533704</v>
      </c>
      <c r="E229">
        <v>38.579632895189398</v>
      </c>
      <c r="F229">
        <v>0.99346934455454805</v>
      </c>
      <c r="G229">
        <v>85.635064570999404</v>
      </c>
      <c r="H229">
        <v>89.832193972958294</v>
      </c>
      <c r="I229" t="str">
        <f t="shared" si="3"/>
        <v>rainier</v>
      </c>
      <c r="J229" t="s">
        <v>982</v>
      </c>
    </row>
    <row r="230" spans="1:10" x14ac:dyDescent="0.2">
      <c r="A230" s="3" t="s">
        <v>554</v>
      </c>
      <c r="B230">
        <v>283.15625</v>
      </c>
      <c r="C230">
        <v>21.4545855865798</v>
      </c>
      <c r="D230">
        <v>31.138119986246998</v>
      </c>
      <c r="E230">
        <v>37.670575617446502</v>
      </c>
      <c r="F230">
        <v>0.99189635119825703</v>
      </c>
      <c r="G230">
        <v>83.817721437732501</v>
      </c>
      <c r="H230">
        <v>88.801719466343201</v>
      </c>
      <c r="I230" t="str">
        <f t="shared" si="3"/>
        <v>rainier</v>
      </c>
      <c r="J230" t="s">
        <v>982</v>
      </c>
    </row>
    <row r="231" spans="1:10" x14ac:dyDescent="0.2">
      <c r="A231" s="3" t="s">
        <v>555</v>
      </c>
      <c r="B231">
        <v>264.2451171875</v>
      </c>
      <c r="C231">
        <v>22.9900179979083</v>
      </c>
      <c r="D231">
        <v>30.255976203960699</v>
      </c>
      <c r="E231">
        <v>36.789093479004002</v>
      </c>
      <c r="F231">
        <v>0.99003327450299194</v>
      </c>
      <c r="G231">
        <v>82.036427772580595</v>
      </c>
      <c r="H231">
        <v>87.603012361173299</v>
      </c>
      <c r="I231" t="str">
        <f t="shared" si="3"/>
        <v>rainier</v>
      </c>
      <c r="J231" t="s">
        <v>982</v>
      </c>
    </row>
    <row r="232" spans="1:10" x14ac:dyDescent="0.2">
      <c r="A232" s="3" t="s">
        <v>556</v>
      </c>
      <c r="B232">
        <v>246.0771484375</v>
      </c>
      <c r="C232">
        <v>24.687379704186402</v>
      </c>
      <c r="D232">
        <v>29.3984325549415</v>
      </c>
      <c r="E232">
        <v>35.933070135079802</v>
      </c>
      <c r="F232">
        <v>0.987775791093637</v>
      </c>
      <c r="G232">
        <v>80.277149934376595</v>
      </c>
      <c r="H232">
        <v>86.181593685884096</v>
      </c>
      <c r="I232" t="str">
        <f t="shared" si="3"/>
        <v>rainier</v>
      </c>
      <c r="J232" t="s">
        <v>982</v>
      </c>
    </row>
    <row r="233" spans="1:10" x14ac:dyDescent="0.2">
      <c r="A233" s="3" t="s">
        <v>557</v>
      </c>
      <c r="B233">
        <v>228.626953125</v>
      </c>
      <c r="C233">
        <v>26.571670211948</v>
      </c>
      <c r="D233">
        <v>28.613609555761801</v>
      </c>
      <c r="E233">
        <v>35.149076300788302</v>
      </c>
      <c r="F233">
        <v>0.98529498461814902</v>
      </c>
      <c r="G233">
        <v>78.625451453173099</v>
      </c>
      <c r="H233">
        <v>84.657892352566506</v>
      </c>
      <c r="I233" t="str">
        <f t="shared" si="3"/>
        <v>rainier</v>
      </c>
      <c r="J233" t="s">
        <v>982</v>
      </c>
    </row>
    <row r="234" spans="1:10" x14ac:dyDescent="0.2">
      <c r="A234" s="3" t="s">
        <v>558</v>
      </c>
      <c r="B234">
        <v>211.333984375</v>
      </c>
      <c r="C234">
        <v>28.745968226389301</v>
      </c>
      <c r="D234">
        <v>27.7881394357034</v>
      </c>
      <c r="E234">
        <v>34.3241503504062</v>
      </c>
      <c r="F234">
        <v>0.98231988459966801</v>
      </c>
      <c r="G234">
        <v>76.822205107632698</v>
      </c>
      <c r="H234">
        <v>82.882101234154106</v>
      </c>
      <c r="I234" t="str">
        <f t="shared" si="3"/>
        <v>rainier</v>
      </c>
      <c r="J234" t="s">
        <v>982</v>
      </c>
    </row>
    <row r="235" spans="1:10" x14ac:dyDescent="0.2">
      <c r="A235" s="3" t="s">
        <v>559</v>
      </c>
      <c r="B235">
        <v>194.142578125</v>
      </c>
      <c r="C235">
        <v>31.291435699842101</v>
      </c>
      <c r="D235">
        <v>26.847716933551801</v>
      </c>
      <c r="E235">
        <v>33.384180199380097</v>
      </c>
      <c r="F235">
        <v>0.97858603811427503</v>
      </c>
      <c r="G235">
        <v>74.639036770745903</v>
      </c>
      <c r="H235">
        <v>80.730352968762404</v>
      </c>
      <c r="I235" t="str">
        <f t="shared" si="3"/>
        <v>rainier</v>
      </c>
      <c r="J235" t="s">
        <v>982</v>
      </c>
    </row>
    <row r="236" spans="1:10" x14ac:dyDescent="0.2">
      <c r="A236" s="3" t="s">
        <v>560</v>
      </c>
      <c r="B236">
        <v>176.7314453125</v>
      </c>
      <c r="C236">
        <v>34.374188414846401</v>
      </c>
      <c r="D236">
        <v>25.796617970757101</v>
      </c>
      <c r="E236">
        <v>32.335157667816198</v>
      </c>
      <c r="F236">
        <v>0.97374327608529199</v>
      </c>
      <c r="G236">
        <v>71.942610649490703</v>
      </c>
      <c r="H236">
        <v>78.0619513992729</v>
      </c>
      <c r="I236" t="str">
        <f t="shared" si="3"/>
        <v>rainier</v>
      </c>
      <c r="J236" t="s">
        <v>982</v>
      </c>
    </row>
    <row r="237" spans="1:10" x14ac:dyDescent="0.2">
      <c r="A237" s="3" t="s">
        <v>561</v>
      </c>
      <c r="B237">
        <v>157.642578125</v>
      </c>
      <c r="C237">
        <v>38.536543059977902</v>
      </c>
      <c r="D237">
        <v>24.568121625760899</v>
      </c>
      <c r="E237">
        <v>31.110793552189801</v>
      </c>
      <c r="F237">
        <v>0.96706276073709396</v>
      </c>
      <c r="G237">
        <v>68.231147640330406</v>
      </c>
      <c r="H237">
        <v>74.595706950680096</v>
      </c>
      <c r="I237" t="str">
        <f t="shared" si="3"/>
        <v>rainier</v>
      </c>
      <c r="J237" t="s">
        <v>982</v>
      </c>
    </row>
    <row r="238" spans="1:10" x14ac:dyDescent="0.2">
      <c r="A238" s="3" t="s">
        <v>562</v>
      </c>
      <c r="B238">
        <v>138.3798828125</v>
      </c>
      <c r="C238">
        <v>43.900889901976697</v>
      </c>
      <c r="D238">
        <v>23.407092598162698</v>
      </c>
      <c r="E238">
        <v>29.954104242346599</v>
      </c>
      <c r="F238">
        <v>0.95891012692423105</v>
      </c>
      <c r="G238">
        <v>63.890867234392402</v>
      </c>
      <c r="H238">
        <v>70.679916806743407</v>
      </c>
      <c r="I238" t="str">
        <f t="shared" si="3"/>
        <v>rainier</v>
      </c>
      <c r="J238" t="s">
        <v>982</v>
      </c>
    </row>
    <row r="239" spans="1:10" x14ac:dyDescent="0.2">
      <c r="A239" s="3" t="s">
        <v>563</v>
      </c>
      <c r="B239">
        <v>122.3388671875</v>
      </c>
      <c r="C239">
        <v>49.657154260626598</v>
      </c>
      <c r="D239">
        <v>22.4742625048005</v>
      </c>
      <c r="E239">
        <v>29.024106217350202</v>
      </c>
      <c r="F239">
        <v>0.95085501623686797</v>
      </c>
      <c r="G239">
        <v>59.686279130743003</v>
      </c>
      <c r="H239">
        <v>67.123159771022998</v>
      </c>
      <c r="I239" t="str">
        <f t="shared" si="3"/>
        <v>rainier</v>
      </c>
      <c r="J239" t="s">
        <v>982</v>
      </c>
    </row>
    <row r="240" spans="1:10" x14ac:dyDescent="0.2">
      <c r="A240" s="3" t="s">
        <v>564</v>
      </c>
      <c r="B240">
        <v>107.3671875</v>
      </c>
      <c r="C240">
        <v>56.581532416502903</v>
      </c>
      <c r="D240">
        <v>21.618333655038199</v>
      </c>
      <c r="E240">
        <v>28.175628634391899</v>
      </c>
      <c r="F240">
        <v>0.94212471870329795</v>
      </c>
      <c r="G240">
        <v>55.353174139370601</v>
      </c>
      <c r="H240">
        <v>63.588081512419002</v>
      </c>
      <c r="I240" t="str">
        <f t="shared" si="3"/>
        <v>rainier</v>
      </c>
      <c r="J240" t="s">
        <v>982</v>
      </c>
    </row>
    <row r="241" spans="1:10" x14ac:dyDescent="0.2">
      <c r="A241" s="3" t="s">
        <v>565</v>
      </c>
      <c r="B241">
        <v>93.8193359375</v>
      </c>
      <c r="C241">
        <v>64.7521104183364</v>
      </c>
      <c r="D241">
        <v>20.8285851637172</v>
      </c>
      <c r="E241">
        <v>27.3882545026235</v>
      </c>
      <c r="F241">
        <v>0.93260106129695497</v>
      </c>
      <c r="G241">
        <v>51.0999879664231</v>
      </c>
      <c r="H241">
        <v>60.076070352985198</v>
      </c>
      <c r="I241" t="str">
        <f t="shared" si="3"/>
        <v>rainier</v>
      </c>
      <c r="J241" t="s">
        <v>982</v>
      </c>
    </row>
    <row r="242" spans="1:10" x14ac:dyDescent="0.2">
      <c r="A242" s="3" t="s">
        <v>566</v>
      </c>
      <c r="B242">
        <v>256.341796875</v>
      </c>
      <c r="C242">
        <v>23.698827401769201</v>
      </c>
      <c r="D242">
        <v>34.852987388195302</v>
      </c>
      <c r="E242">
        <v>42.379850655379101</v>
      </c>
      <c r="F242">
        <v>0.97112184929020395</v>
      </c>
      <c r="G242">
        <v>93.146513502238406</v>
      </c>
      <c r="H242">
        <v>76.672908810567407</v>
      </c>
      <c r="I242" t="str">
        <f t="shared" si="3"/>
        <v>room</v>
      </c>
      <c r="J242" t="s">
        <v>982</v>
      </c>
    </row>
    <row r="243" spans="1:10" x14ac:dyDescent="0.2">
      <c r="A243" s="3" t="s">
        <v>567</v>
      </c>
      <c r="B243">
        <v>221.859375</v>
      </c>
      <c r="C243">
        <v>27.382210014789798</v>
      </c>
      <c r="D243">
        <v>34.244752543283802</v>
      </c>
      <c r="E243">
        <v>41.772000391658302</v>
      </c>
      <c r="F243">
        <v>0.96696189656347598</v>
      </c>
      <c r="G243">
        <v>91.949197618771606</v>
      </c>
      <c r="H243">
        <v>74.545202255807695</v>
      </c>
      <c r="I243" t="str">
        <f t="shared" si="3"/>
        <v>room</v>
      </c>
      <c r="J243" t="s">
        <v>982</v>
      </c>
    </row>
    <row r="244" spans="1:10" x14ac:dyDescent="0.2">
      <c r="A244" s="3" t="s">
        <v>568</v>
      </c>
      <c r="B244">
        <v>189.8544921875</v>
      </c>
      <c r="C244">
        <v>31.998189402863002</v>
      </c>
      <c r="D244">
        <v>33.641266324545001</v>
      </c>
      <c r="E244">
        <v>41.169184112375902</v>
      </c>
      <c r="F244">
        <v>0.96229241099338103</v>
      </c>
      <c r="G244">
        <v>90.760940880866102</v>
      </c>
      <c r="H244">
        <v>72.264253019881806</v>
      </c>
      <c r="I244" t="str">
        <f t="shared" si="3"/>
        <v>room</v>
      </c>
      <c r="J244" t="s">
        <v>982</v>
      </c>
    </row>
    <row r="245" spans="1:10" x14ac:dyDescent="0.2">
      <c r="A245" s="3" t="s">
        <v>569</v>
      </c>
      <c r="B245">
        <v>161.533203125</v>
      </c>
      <c r="C245">
        <v>37.608367087842304</v>
      </c>
      <c r="D245">
        <v>33.059293208322501</v>
      </c>
      <c r="E245">
        <v>40.586379226200002</v>
      </c>
      <c r="F245">
        <v>0.95702237120783196</v>
      </c>
      <c r="G245">
        <v>89.6109911151011</v>
      </c>
      <c r="H245">
        <v>69.819548992205</v>
      </c>
      <c r="I245" t="str">
        <f t="shared" si="3"/>
        <v>room</v>
      </c>
      <c r="J245" t="s">
        <v>982</v>
      </c>
    </row>
    <row r="246" spans="1:10" x14ac:dyDescent="0.2">
      <c r="A246" s="3" t="s">
        <v>570</v>
      </c>
      <c r="B246">
        <v>137.4521484375</v>
      </c>
      <c r="C246">
        <v>44.197199309418799</v>
      </c>
      <c r="D246">
        <v>32.5174849400588</v>
      </c>
      <c r="E246">
        <v>40.043505390536197</v>
      </c>
      <c r="F246">
        <v>0.95179726117827501</v>
      </c>
      <c r="G246">
        <v>88.538434103199506</v>
      </c>
      <c r="H246">
        <v>67.524062205645606</v>
      </c>
      <c r="I246" t="str">
        <f t="shared" si="3"/>
        <v>room</v>
      </c>
      <c r="J246" t="s">
        <v>982</v>
      </c>
    </row>
    <row r="247" spans="1:10" x14ac:dyDescent="0.2">
      <c r="A247" s="3" t="s">
        <v>571</v>
      </c>
      <c r="B247">
        <v>117.392578125</v>
      </c>
      <c r="C247">
        <v>51.7494384826553</v>
      </c>
      <c r="D247">
        <v>31.990258442612902</v>
      </c>
      <c r="E247">
        <v>39.516457935218398</v>
      </c>
      <c r="F247">
        <v>0.94646654256306395</v>
      </c>
      <c r="G247">
        <v>87.495384739046798</v>
      </c>
      <c r="H247">
        <v>65.306476455215503</v>
      </c>
      <c r="I247" t="str">
        <f t="shared" si="3"/>
        <v>room</v>
      </c>
      <c r="J247" t="s">
        <v>982</v>
      </c>
    </row>
    <row r="248" spans="1:10" x14ac:dyDescent="0.2">
      <c r="A248" s="3" t="s">
        <v>572</v>
      </c>
      <c r="B248">
        <v>100.046875</v>
      </c>
      <c r="C248">
        <v>60.721536779634498</v>
      </c>
      <c r="D248">
        <v>31.478817218704201</v>
      </c>
      <c r="E248">
        <v>39.004944364991601</v>
      </c>
      <c r="F248">
        <v>0.94104428075174995</v>
      </c>
      <c r="G248">
        <v>86.480841622798494</v>
      </c>
      <c r="H248">
        <v>63.172238966357597</v>
      </c>
      <c r="I248" t="str">
        <f t="shared" si="3"/>
        <v>room</v>
      </c>
      <c r="J248" t="s">
        <v>982</v>
      </c>
    </row>
    <row r="249" spans="1:10" x14ac:dyDescent="0.2">
      <c r="A249" s="3" t="s">
        <v>573</v>
      </c>
      <c r="B249">
        <v>84.857421875</v>
      </c>
      <c r="C249">
        <v>71.590673694386297</v>
      </c>
      <c r="D249">
        <v>30.987198937668399</v>
      </c>
      <c r="E249">
        <v>38.5125851749494</v>
      </c>
      <c r="F249">
        <v>0.93550016036887695</v>
      </c>
      <c r="G249">
        <v>85.501512800413806</v>
      </c>
      <c r="H249">
        <v>61.109252586212101</v>
      </c>
      <c r="I249" t="str">
        <f t="shared" si="3"/>
        <v>room</v>
      </c>
      <c r="J249" t="s">
        <v>982</v>
      </c>
    </row>
    <row r="250" spans="1:10" x14ac:dyDescent="0.2">
      <c r="A250" s="3" t="s">
        <v>574</v>
      </c>
      <c r="B250">
        <v>72.9423828125</v>
      </c>
      <c r="C250">
        <v>83.284912910179003</v>
      </c>
      <c r="D250">
        <v>30.496366568010998</v>
      </c>
      <c r="E250">
        <v>38.024570450561797</v>
      </c>
      <c r="F250">
        <v>0.93002534643114598</v>
      </c>
      <c r="G250">
        <v>84.527265180882097</v>
      </c>
      <c r="H250">
        <v>59.183337549307502</v>
      </c>
      <c r="I250" t="str">
        <f t="shared" si="3"/>
        <v>room</v>
      </c>
      <c r="J250" t="s">
        <v>982</v>
      </c>
    </row>
    <row r="251" spans="1:10" x14ac:dyDescent="0.2">
      <c r="A251" s="3" t="s">
        <v>575</v>
      </c>
      <c r="B251">
        <v>63.0068359375</v>
      </c>
      <c r="C251">
        <v>96.418109394132003</v>
      </c>
      <c r="D251">
        <v>30.026644955725502</v>
      </c>
      <c r="E251">
        <v>37.554965918643397</v>
      </c>
      <c r="F251">
        <v>0.92467311604711699</v>
      </c>
      <c r="G251">
        <v>83.585375760485505</v>
      </c>
      <c r="H251">
        <v>57.401110829274302</v>
      </c>
      <c r="I251" t="str">
        <f t="shared" si="3"/>
        <v>room</v>
      </c>
      <c r="J251" t="s">
        <v>982</v>
      </c>
    </row>
    <row r="252" spans="1:10" x14ac:dyDescent="0.2">
      <c r="A252" s="3" t="s">
        <v>576</v>
      </c>
      <c r="B252">
        <v>54.32421875</v>
      </c>
      <c r="C252">
        <v>111.82857553749901</v>
      </c>
      <c r="D252">
        <v>29.579312595368201</v>
      </c>
      <c r="E252">
        <v>37.105564918109899</v>
      </c>
      <c r="F252">
        <v>0.91951591451084602</v>
      </c>
      <c r="G252">
        <v>82.678755074369803</v>
      </c>
      <c r="H252">
        <v>55.772425051387202</v>
      </c>
      <c r="I252" t="str">
        <f t="shared" si="3"/>
        <v>room</v>
      </c>
      <c r="J252" t="s">
        <v>982</v>
      </c>
    </row>
    <row r="253" spans="1:10" x14ac:dyDescent="0.2">
      <c r="A253" s="3" t="s">
        <v>577</v>
      </c>
      <c r="B253">
        <v>47.66015625</v>
      </c>
      <c r="C253">
        <v>127.46496188837</v>
      </c>
      <c r="D253">
        <v>29.114159712139099</v>
      </c>
      <c r="E253">
        <v>36.642422244532</v>
      </c>
      <c r="F253">
        <v>0.91413075723579496</v>
      </c>
      <c r="G253">
        <v>81.737450425007097</v>
      </c>
      <c r="H253">
        <v>54.159181012709702</v>
      </c>
      <c r="I253" t="str">
        <f t="shared" si="3"/>
        <v>room</v>
      </c>
      <c r="J253" t="s">
        <v>982</v>
      </c>
    </row>
    <row r="254" spans="1:10" x14ac:dyDescent="0.2">
      <c r="A254" s="3" t="s">
        <v>578</v>
      </c>
      <c r="B254">
        <v>41.3828125</v>
      </c>
      <c r="C254">
        <v>146.800075514442</v>
      </c>
      <c r="D254">
        <v>28.667558025438499</v>
      </c>
      <c r="E254">
        <v>36.194441222999899</v>
      </c>
      <c r="F254">
        <v>0.90895097236419597</v>
      </c>
      <c r="G254">
        <v>80.818299782235499</v>
      </c>
      <c r="H254">
        <v>52.686897288860798</v>
      </c>
      <c r="I254" t="str">
        <f t="shared" si="3"/>
        <v>room</v>
      </c>
      <c r="J254" t="s">
        <v>982</v>
      </c>
    </row>
    <row r="255" spans="1:10" x14ac:dyDescent="0.2">
      <c r="A255" s="3" t="s">
        <v>579</v>
      </c>
      <c r="B255">
        <v>36.4375</v>
      </c>
      <c r="C255">
        <v>166.72384219553999</v>
      </c>
      <c r="D255">
        <v>28.1909825970959</v>
      </c>
      <c r="E255">
        <v>35.719924841664003</v>
      </c>
      <c r="F255">
        <v>0.90324930667661596</v>
      </c>
      <c r="G255">
        <v>79.832699462255405</v>
      </c>
      <c r="H255">
        <v>51.150975400854598</v>
      </c>
      <c r="I255" t="str">
        <f t="shared" si="3"/>
        <v>room</v>
      </c>
      <c r="J255" t="s">
        <v>982</v>
      </c>
    </row>
    <row r="256" spans="1:10" x14ac:dyDescent="0.2">
      <c r="A256" s="3" t="s">
        <v>580</v>
      </c>
      <c r="B256">
        <v>32.0048828125</v>
      </c>
      <c r="C256">
        <v>189.81478656210899</v>
      </c>
      <c r="D256">
        <v>27.7302785645089</v>
      </c>
      <c r="E256">
        <v>35.260458220497</v>
      </c>
      <c r="F256">
        <v>0.89746873110895897</v>
      </c>
      <c r="G256">
        <v>78.863187285974007</v>
      </c>
      <c r="H256">
        <v>49.678876702672099</v>
      </c>
      <c r="I256" t="str">
        <f t="shared" si="3"/>
        <v>room</v>
      </c>
      <c r="J256" t="s">
        <v>982</v>
      </c>
    </row>
    <row r="257" spans="1:10" x14ac:dyDescent="0.2">
      <c r="A257" s="3" t="s">
        <v>581</v>
      </c>
      <c r="B257">
        <v>28.2978515625</v>
      </c>
      <c r="C257">
        <v>214.68060875867101</v>
      </c>
      <c r="D257">
        <v>27.264191743708</v>
      </c>
      <c r="E257">
        <v>34.796739395928697</v>
      </c>
      <c r="F257">
        <v>0.89170997718196998</v>
      </c>
      <c r="G257">
        <v>77.865193032557599</v>
      </c>
      <c r="H257">
        <v>48.292123672825703</v>
      </c>
      <c r="I257" t="str">
        <f t="shared" si="3"/>
        <v>room</v>
      </c>
      <c r="J257" t="s">
        <v>982</v>
      </c>
    </row>
    <row r="258" spans="1:10" x14ac:dyDescent="0.2">
      <c r="A258" s="3" t="s">
        <v>662</v>
      </c>
      <c r="B258">
        <v>579.185546875</v>
      </c>
      <c r="C258">
        <v>10.488866707357801</v>
      </c>
      <c r="D258">
        <v>37.933019780210998</v>
      </c>
      <c r="E258">
        <v>39.667442432304803</v>
      </c>
      <c r="F258">
        <v>0.98430976703361905</v>
      </c>
      <c r="G258">
        <v>87.794399231492605</v>
      </c>
      <c r="H258">
        <v>84.063687213926002</v>
      </c>
      <c r="I258" t="str">
        <f t="shared" si="3"/>
        <v>scratches</v>
      </c>
      <c r="J258" t="s">
        <v>982</v>
      </c>
    </row>
    <row r="259" spans="1:10" x14ac:dyDescent="0.2">
      <c r="A259" s="3" t="s">
        <v>663</v>
      </c>
      <c r="B259">
        <v>514.5458984375</v>
      </c>
      <c r="C259">
        <v>11.8065269171277</v>
      </c>
      <c r="D259">
        <v>37.277965815738398</v>
      </c>
      <c r="E259">
        <v>39.013038424276999</v>
      </c>
      <c r="F259">
        <v>0.98190517184549997</v>
      </c>
      <c r="G259">
        <v>86.496916227477399</v>
      </c>
      <c r="H259">
        <v>82.638933801233406</v>
      </c>
      <c r="I259" t="str">
        <f t="shared" ref="I259:I322" si="4">MID(A259,1,(FIND("yuv",A259))-1)</f>
        <v>scratches</v>
      </c>
      <c r="J259" t="s">
        <v>982</v>
      </c>
    </row>
    <row r="260" spans="1:10" x14ac:dyDescent="0.2">
      <c r="A260" s="3" t="s">
        <v>664</v>
      </c>
      <c r="B260">
        <v>457.7060546875</v>
      </c>
      <c r="C260">
        <v>13.2727105918398</v>
      </c>
      <c r="D260">
        <v>36.630103943090603</v>
      </c>
      <c r="E260">
        <v>38.365103893629097</v>
      </c>
      <c r="F260">
        <v>0.97913470014120296</v>
      </c>
      <c r="G260">
        <v>85.207508331166807</v>
      </c>
      <c r="H260">
        <v>81.041287423449404</v>
      </c>
      <c r="I260" t="str">
        <f t="shared" si="4"/>
        <v>scratches</v>
      </c>
      <c r="J260" t="s">
        <v>982</v>
      </c>
    </row>
    <row r="261" spans="1:10" x14ac:dyDescent="0.2">
      <c r="A261" s="3" t="s">
        <v>665</v>
      </c>
      <c r="B261">
        <v>403.2666015625</v>
      </c>
      <c r="C261">
        <v>15.0644758987274</v>
      </c>
      <c r="D261">
        <v>35.978411543874699</v>
      </c>
      <c r="E261">
        <v>37.713311713883897</v>
      </c>
      <c r="F261">
        <v>0.97598498072186601</v>
      </c>
      <c r="G261">
        <v>83.903528321383007</v>
      </c>
      <c r="H261">
        <v>79.280354693032194</v>
      </c>
      <c r="I261" t="str">
        <f t="shared" si="4"/>
        <v>scratches</v>
      </c>
      <c r="J261" t="s">
        <v>982</v>
      </c>
    </row>
    <row r="262" spans="1:10" x14ac:dyDescent="0.2">
      <c r="A262" s="3" t="s">
        <v>666</v>
      </c>
      <c r="B262">
        <v>354.90234375</v>
      </c>
      <c r="C262">
        <v>17.117384843982201</v>
      </c>
      <c r="D262">
        <v>35.360925910231401</v>
      </c>
      <c r="E262">
        <v>37.095879978095702</v>
      </c>
      <c r="F262">
        <v>0.97250266902842197</v>
      </c>
      <c r="G262">
        <v>82.659149648741405</v>
      </c>
      <c r="H262">
        <v>77.399834820266705</v>
      </c>
      <c r="I262" t="str">
        <f t="shared" si="4"/>
        <v>scratches</v>
      </c>
      <c r="J262" t="s">
        <v>982</v>
      </c>
    </row>
    <row r="263" spans="1:10" x14ac:dyDescent="0.2">
      <c r="A263" s="3" t="s">
        <v>667</v>
      </c>
      <c r="B263">
        <v>309.853515625</v>
      </c>
      <c r="C263">
        <v>19.606038639730201</v>
      </c>
      <c r="D263">
        <v>34.743428660326501</v>
      </c>
      <c r="E263">
        <v>36.477782410143902</v>
      </c>
      <c r="F263">
        <v>0.96862530634941402</v>
      </c>
      <c r="G263">
        <v>81.400756316113899</v>
      </c>
      <c r="H263">
        <v>75.384928289769306</v>
      </c>
      <c r="I263" t="str">
        <f t="shared" si="4"/>
        <v>scratches</v>
      </c>
      <c r="J263" t="s">
        <v>982</v>
      </c>
    </row>
    <row r="264" spans="1:10" x14ac:dyDescent="0.2">
      <c r="A264" s="3" t="s">
        <v>668</v>
      </c>
      <c r="B264">
        <v>270.1767578125</v>
      </c>
      <c r="C264">
        <v>22.4852798189842</v>
      </c>
      <c r="D264">
        <v>34.1340871809319</v>
      </c>
      <c r="E264">
        <v>35.868536384812998</v>
      </c>
      <c r="F264">
        <v>0.96428462451832597</v>
      </c>
      <c r="G264">
        <v>80.142900807482903</v>
      </c>
      <c r="H264">
        <v>73.223861167656395</v>
      </c>
      <c r="I264" t="str">
        <f t="shared" si="4"/>
        <v>scratches</v>
      </c>
      <c r="J264" t="s">
        <v>982</v>
      </c>
    </row>
    <row r="265" spans="1:10" x14ac:dyDescent="0.2">
      <c r="A265" s="3" t="s">
        <v>669</v>
      </c>
      <c r="B265">
        <v>234.7958984375</v>
      </c>
      <c r="C265">
        <v>25.873535442601</v>
      </c>
      <c r="D265">
        <v>33.541977259306897</v>
      </c>
      <c r="E265">
        <v>35.2761966538203</v>
      </c>
      <c r="F265">
        <v>0.959558920070397</v>
      </c>
      <c r="G265">
        <v>78.896687470188098</v>
      </c>
      <c r="H265">
        <v>70.979526048926999</v>
      </c>
      <c r="I265" t="str">
        <f t="shared" si="4"/>
        <v>scratches</v>
      </c>
      <c r="J265" t="s">
        <v>982</v>
      </c>
    </row>
    <row r="266" spans="1:10" x14ac:dyDescent="0.2">
      <c r="A266" s="3" t="s">
        <v>670</v>
      </c>
      <c r="B266">
        <v>203.8623046875</v>
      </c>
      <c r="C266">
        <v>29.799525759862</v>
      </c>
      <c r="D266">
        <v>32.975494281134303</v>
      </c>
      <c r="E266">
        <v>34.7098851155205</v>
      </c>
      <c r="F266">
        <v>0.95453800029251901</v>
      </c>
      <c r="G266">
        <v>77.675663642741597</v>
      </c>
      <c r="H266">
        <v>68.7126290900474</v>
      </c>
      <c r="I266" t="str">
        <f t="shared" si="4"/>
        <v>scratches</v>
      </c>
      <c r="J266" t="s">
        <v>982</v>
      </c>
    </row>
    <row r="267" spans="1:10" x14ac:dyDescent="0.2">
      <c r="A267" s="3" t="s">
        <v>671</v>
      </c>
      <c r="B267">
        <v>176.31640625</v>
      </c>
      <c r="C267">
        <v>34.455103352017197</v>
      </c>
      <c r="D267">
        <v>32.4095439775964</v>
      </c>
      <c r="E267">
        <v>34.145021582381297</v>
      </c>
      <c r="F267">
        <v>0.94911360491070196</v>
      </c>
      <c r="G267">
        <v>76.418571365567203</v>
      </c>
      <c r="H267">
        <v>66.392419155663902</v>
      </c>
      <c r="I267" t="str">
        <f t="shared" si="4"/>
        <v>scratches</v>
      </c>
      <c r="J267" t="s">
        <v>982</v>
      </c>
    </row>
    <row r="268" spans="1:10" x14ac:dyDescent="0.2">
      <c r="A268" s="3" t="s">
        <v>672</v>
      </c>
      <c r="B268">
        <v>151.9833984375</v>
      </c>
      <c r="C268">
        <v>39.971470979432098</v>
      </c>
      <c r="D268">
        <v>31.857496352859901</v>
      </c>
      <c r="E268">
        <v>33.592696836915501</v>
      </c>
      <c r="F268">
        <v>0.94305574663814196</v>
      </c>
      <c r="G268">
        <v>75.138583561685607</v>
      </c>
      <c r="H268">
        <v>63.950133667597797</v>
      </c>
      <c r="I268" t="str">
        <f t="shared" si="4"/>
        <v>scratches</v>
      </c>
      <c r="J268" t="s">
        <v>982</v>
      </c>
    </row>
    <row r="269" spans="1:10" x14ac:dyDescent="0.2">
      <c r="A269" s="3" t="s">
        <v>673</v>
      </c>
      <c r="B269">
        <v>130.8466796875</v>
      </c>
      <c r="C269">
        <v>46.4283848433057</v>
      </c>
      <c r="D269">
        <v>31.3317036098918</v>
      </c>
      <c r="E269">
        <v>33.066500285770999</v>
      </c>
      <c r="F269">
        <v>0.936783498836114</v>
      </c>
      <c r="G269">
        <v>73.857440040338503</v>
      </c>
      <c r="H269">
        <v>61.576446134309698</v>
      </c>
      <c r="I269" t="str">
        <f t="shared" si="4"/>
        <v>scratches</v>
      </c>
      <c r="J269" t="s">
        <v>982</v>
      </c>
    </row>
    <row r="270" spans="1:10" x14ac:dyDescent="0.2">
      <c r="A270" s="3" t="s">
        <v>674</v>
      </c>
      <c r="B270">
        <v>111.9833984375</v>
      </c>
      <c r="C270">
        <v>54.249112678881303</v>
      </c>
      <c r="D270">
        <v>30.807980279565001</v>
      </c>
      <c r="E270">
        <v>32.5456941846098</v>
      </c>
      <c r="F270">
        <v>0.92996899054855098</v>
      </c>
      <c r="G270">
        <v>72.512573485399898</v>
      </c>
      <c r="H270">
        <v>59.164064484179299</v>
      </c>
      <c r="I270" t="str">
        <f t="shared" si="4"/>
        <v>scratches</v>
      </c>
      <c r="J270" t="s">
        <v>982</v>
      </c>
    </row>
    <row r="271" spans="1:10" x14ac:dyDescent="0.2">
      <c r="A271" s="3" t="s">
        <v>675</v>
      </c>
      <c r="B271">
        <v>96.35546875</v>
      </c>
      <c r="C271">
        <v>63.047796651396602</v>
      </c>
      <c r="D271">
        <v>30.3053144070477</v>
      </c>
      <c r="E271">
        <v>32.0431486497218</v>
      </c>
      <c r="F271">
        <v>0.92294828426798703</v>
      </c>
      <c r="G271">
        <v>71.123000771013295</v>
      </c>
      <c r="H271">
        <v>56.846972650713298</v>
      </c>
      <c r="I271" t="str">
        <f t="shared" si="4"/>
        <v>scratches</v>
      </c>
      <c r="J271" t="s">
        <v>982</v>
      </c>
    </row>
    <row r="272" spans="1:10" x14ac:dyDescent="0.2">
      <c r="A272" s="3" t="s">
        <v>676</v>
      </c>
      <c r="B272">
        <v>82.8623046875</v>
      </c>
      <c r="C272">
        <v>73.314398180339694</v>
      </c>
      <c r="D272">
        <v>29.8300420625004</v>
      </c>
      <c r="E272">
        <v>31.566119441195401</v>
      </c>
      <c r="F272">
        <v>0.91552280021557197</v>
      </c>
      <c r="G272">
        <v>69.700855023149899</v>
      </c>
      <c r="H272">
        <v>54.567929312713702</v>
      </c>
      <c r="I272" t="str">
        <f t="shared" si="4"/>
        <v>scratches</v>
      </c>
      <c r="J272" t="s">
        <v>982</v>
      </c>
    </row>
    <row r="273" spans="1:10" x14ac:dyDescent="0.2">
      <c r="A273" s="3" t="s">
        <v>677</v>
      </c>
      <c r="B273">
        <v>70.7783203125</v>
      </c>
      <c r="C273">
        <v>85.831367192350697</v>
      </c>
      <c r="D273">
        <v>29.359881854186401</v>
      </c>
      <c r="E273">
        <v>31.0997806168882</v>
      </c>
      <c r="F273">
        <v>0.90767961683056397</v>
      </c>
      <c r="G273">
        <v>68.194091371181599</v>
      </c>
      <c r="H273">
        <v>52.336915375958398</v>
      </c>
      <c r="I273" t="str">
        <f t="shared" si="4"/>
        <v>scratches</v>
      </c>
      <c r="J273" t="s">
        <v>982</v>
      </c>
    </row>
    <row r="274" spans="1:10" x14ac:dyDescent="0.2">
      <c r="A274" s="3" t="s">
        <v>422</v>
      </c>
      <c r="B274">
        <v>187.94140625</v>
      </c>
      <c r="C274">
        <v>32.3239041423316</v>
      </c>
      <c r="D274">
        <v>37.124672883479498</v>
      </c>
      <c r="E274">
        <v>42.474304548265103</v>
      </c>
      <c r="F274">
        <v>0.98956222493708301</v>
      </c>
      <c r="G274">
        <v>93.332504069715995</v>
      </c>
      <c r="H274">
        <v>87.303631418749802</v>
      </c>
      <c r="I274" t="str">
        <f t="shared" si="4"/>
        <v>shop</v>
      </c>
      <c r="J274" t="s">
        <v>982</v>
      </c>
    </row>
    <row r="275" spans="1:10" x14ac:dyDescent="0.2">
      <c r="A275" s="3" t="s">
        <v>423</v>
      </c>
      <c r="B275">
        <v>165.51953125</v>
      </c>
      <c r="C275">
        <v>36.702617232671699</v>
      </c>
      <c r="D275">
        <v>36.593526888237299</v>
      </c>
      <c r="E275">
        <v>41.942928563113597</v>
      </c>
      <c r="F275">
        <v>0.98868067077688604</v>
      </c>
      <c r="G275">
        <v>92.285959323149598</v>
      </c>
      <c r="H275">
        <v>86.747309624189498</v>
      </c>
      <c r="I275" t="str">
        <f t="shared" si="4"/>
        <v>shop</v>
      </c>
      <c r="J275" t="s">
        <v>982</v>
      </c>
    </row>
    <row r="276" spans="1:10" x14ac:dyDescent="0.2">
      <c r="A276" s="3" t="s">
        <v>424</v>
      </c>
      <c r="B276">
        <v>147</v>
      </c>
      <c r="C276">
        <v>41.326530612244902</v>
      </c>
      <c r="D276">
        <v>36.067140242607501</v>
      </c>
      <c r="E276">
        <v>41.416782665918298</v>
      </c>
      <c r="F276">
        <v>0.98774548150647201</v>
      </c>
      <c r="G276">
        <v>91.249124104024901</v>
      </c>
      <c r="H276">
        <v>86.162737418369304</v>
      </c>
      <c r="I276" t="str">
        <f t="shared" si="4"/>
        <v>shop</v>
      </c>
      <c r="J276" t="s">
        <v>982</v>
      </c>
    </row>
    <row r="277" spans="1:10" x14ac:dyDescent="0.2">
      <c r="A277" s="3" t="s">
        <v>425</v>
      </c>
      <c r="B277">
        <v>131.30078125</v>
      </c>
      <c r="C277">
        <v>46.267813048522903</v>
      </c>
      <c r="D277">
        <v>35.495452876224398</v>
      </c>
      <c r="E277">
        <v>40.8458347866666</v>
      </c>
      <c r="F277">
        <v>0.98663438183559105</v>
      </c>
      <c r="G277">
        <v>90.123094297690997</v>
      </c>
      <c r="H277">
        <v>85.475619217970902</v>
      </c>
      <c r="I277" t="str">
        <f t="shared" si="4"/>
        <v>shop</v>
      </c>
      <c r="J277" t="s">
        <v>982</v>
      </c>
    </row>
    <row r="278" spans="1:10" x14ac:dyDescent="0.2">
      <c r="A278" s="3" t="s">
        <v>426</v>
      </c>
      <c r="B278">
        <v>117.888671875</v>
      </c>
      <c r="C278">
        <v>51.531668848059098</v>
      </c>
      <c r="D278">
        <v>34.937918178162498</v>
      </c>
      <c r="E278">
        <v>40.288169330038997</v>
      </c>
      <c r="F278">
        <v>0.98548401674052699</v>
      </c>
      <c r="G278">
        <v>89.022012894397506</v>
      </c>
      <c r="H278">
        <v>84.772605053429302</v>
      </c>
      <c r="I278" t="str">
        <f t="shared" si="4"/>
        <v>shop</v>
      </c>
      <c r="J278" t="s">
        <v>982</v>
      </c>
    </row>
    <row r="279" spans="1:10" x14ac:dyDescent="0.2">
      <c r="A279" s="3" t="s">
        <v>427</v>
      </c>
      <c r="B279">
        <v>106.4609375</v>
      </c>
      <c r="C279">
        <v>57.063183385925001</v>
      </c>
      <c r="D279">
        <v>34.373095874520502</v>
      </c>
      <c r="E279">
        <v>39.722929915937598</v>
      </c>
      <c r="F279">
        <v>0.98414591354529002</v>
      </c>
      <c r="G279">
        <v>87.904243514482005</v>
      </c>
      <c r="H279">
        <v>83.965457676754099</v>
      </c>
      <c r="I279" t="str">
        <f t="shared" si="4"/>
        <v>shop</v>
      </c>
      <c r="J279" t="s">
        <v>982</v>
      </c>
    </row>
    <row r="280" spans="1:10" x14ac:dyDescent="0.2">
      <c r="A280" s="3" t="s">
        <v>428</v>
      </c>
      <c r="B280">
        <v>95.673828125</v>
      </c>
      <c r="C280">
        <v>63.496988874145202</v>
      </c>
      <c r="D280">
        <v>33.788352259589402</v>
      </c>
      <c r="E280">
        <v>39.139030827666403</v>
      </c>
      <c r="F280">
        <v>0.98263043760424396</v>
      </c>
      <c r="G280">
        <v>86.747041947326196</v>
      </c>
      <c r="H280">
        <v>83.064887668264902</v>
      </c>
      <c r="I280" t="str">
        <f t="shared" si="4"/>
        <v>shop</v>
      </c>
      <c r="J280" t="s">
        <v>982</v>
      </c>
    </row>
    <row r="281" spans="1:10" x14ac:dyDescent="0.2">
      <c r="A281" s="3" t="s">
        <v>429</v>
      </c>
      <c r="B281">
        <v>86.5703125</v>
      </c>
      <c r="C281">
        <v>70.174172006136601</v>
      </c>
      <c r="D281">
        <v>33.1903529140003</v>
      </c>
      <c r="E281">
        <v>38.541717568348801</v>
      </c>
      <c r="F281">
        <v>0.98087433012460401</v>
      </c>
      <c r="G281">
        <v>85.559549388821296</v>
      </c>
      <c r="H281">
        <v>82.039055954960304</v>
      </c>
      <c r="I281" t="str">
        <f t="shared" si="4"/>
        <v>shop</v>
      </c>
      <c r="J281" t="s">
        <v>982</v>
      </c>
    </row>
    <row r="282" spans="1:10" x14ac:dyDescent="0.2">
      <c r="A282" s="3" t="s">
        <v>430</v>
      </c>
      <c r="B282">
        <v>78.1484375</v>
      </c>
      <c r="C282">
        <v>77.736678996301094</v>
      </c>
      <c r="D282">
        <v>32.5798196962715</v>
      </c>
      <c r="E282">
        <v>37.930155527741498</v>
      </c>
      <c r="F282">
        <v>0.978856722118567</v>
      </c>
      <c r="G282">
        <v>84.338280986531899</v>
      </c>
      <c r="H282">
        <v>80.883530151931794</v>
      </c>
      <c r="I282" t="str">
        <f t="shared" si="4"/>
        <v>shop</v>
      </c>
      <c r="J282" t="s">
        <v>982</v>
      </c>
    </row>
    <row r="283" spans="1:10" x14ac:dyDescent="0.2">
      <c r="A283" s="3" t="s">
        <v>431</v>
      </c>
      <c r="B283">
        <v>70.6025390625</v>
      </c>
      <c r="C283">
        <v>86.045064110544004</v>
      </c>
      <c r="D283">
        <v>31.986753230467901</v>
      </c>
      <c r="E283">
        <v>37.338098735230098</v>
      </c>
      <c r="F283">
        <v>0.97653818777139501</v>
      </c>
      <c r="G283">
        <v>83.148594776064797</v>
      </c>
      <c r="H283">
        <v>79.585452399470796</v>
      </c>
      <c r="I283" t="str">
        <f t="shared" si="4"/>
        <v>shop</v>
      </c>
      <c r="J283" t="s">
        <v>982</v>
      </c>
    </row>
    <row r="284" spans="1:10" x14ac:dyDescent="0.2">
      <c r="A284" s="3" t="s">
        <v>432</v>
      </c>
      <c r="B284">
        <v>63.173828125</v>
      </c>
      <c r="C284">
        <v>96.163240068016705</v>
      </c>
      <c r="D284">
        <v>31.353597120597101</v>
      </c>
      <c r="E284">
        <v>36.705402137268301</v>
      </c>
      <c r="F284">
        <v>0.97381338736775702</v>
      </c>
      <c r="G284">
        <v>81.865937124041906</v>
      </c>
      <c r="H284">
        <v>78.099626978849301</v>
      </c>
      <c r="I284" t="str">
        <f t="shared" si="4"/>
        <v>shop</v>
      </c>
      <c r="J284" t="s">
        <v>982</v>
      </c>
    </row>
    <row r="285" spans="1:10" x14ac:dyDescent="0.2">
      <c r="A285" s="3" t="s">
        <v>433</v>
      </c>
      <c r="B285">
        <v>57.0263671875</v>
      </c>
      <c r="C285">
        <v>106.529668636013</v>
      </c>
      <c r="D285">
        <v>30.7227092376393</v>
      </c>
      <c r="E285">
        <v>36.074409525629797</v>
      </c>
      <c r="F285">
        <v>0.97074609799721501</v>
      </c>
      <c r="G285">
        <v>80.570277208622201</v>
      </c>
      <c r="H285">
        <v>76.476904208670703</v>
      </c>
      <c r="I285" t="str">
        <f t="shared" si="4"/>
        <v>shop</v>
      </c>
      <c r="J285" t="s">
        <v>982</v>
      </c>
    </row>
    <row r="286" spans="1:10" x14ac:dyDescent="0.2">
      <c r="A286" s="3" t="s">
        <v>434</v>
      </c>
      <c r="B286">
        <v>51.01171875</v>
      </c>
      <c r="C286">
        <v>119.090282563749</v>
      </c>
      <c r="D286">
        <v>30.066885415861801</v>
      </c>
      <c r="E286">
        <v>35.420969910512099</v>
      </c>
      <c r="F286">
        <v>0.96712269219813995</v>
      </c>
      <c r="G286">
        <v>79.203825780331002</v>
      </c>
      <c r="H286">
        <v>74.6257409856603</v>
      </c>
      <c r="I286" t="str">
        <f t="shared" si="4"/>
        <v>shop</v>
      </c>
      <c r="J286" t="s">
        <v>982</v>
      </c>
    </row>
    <row r="287" spans="1:10" x14ac:dyDescent="0.2">
      <c r="A287" s="3" t="s">
        <v>435</v>
      </c>
      <c r="B287">
        <v>45.779296875</v>
      </c>
      <c r="C287">
        <v>132.701907077947</v>
      </c>
      <c r="D287">
        <v>29.420696522591001</v>
      </c>
      <c r="E287">
        <v>34.773947866743001</v>
      </c>
      <c r="F287">
        <v>0.96335010565114598</v>
      </c>
      <c r="G287">
        <v>77.815545017748207</v>
      </c>
      <c r="H287">
        <v>72.771244910018098</v>
      </c>
      <c r="I287" t="str">
        <f t="shared" si="4"/>
        <v>shop</v>
      </c>
      <c r="J287" t="s">
        <v>982</v>
      </c>
    </row>
    <row r="288" spans="1:10" x14ac:dyDescent="0.2">
      <c r="A288" s="3" t="s">
        <v>436</v>
      </c>
      <c r="B288">
        <v>40.6416015625</v>
      </c>
      <c r="C288">
        <v>149.47737703342401</v>
      </c>
      <c r="D288">
        <v>28.778808311962699</v>
      </c>
      <c r="E288">
        <v>34.134196315275403</v>
      </c>
      <c r="F288">
        <v>0.95894225484741702</v>
      </c>
      <c r="G288">
        <v>76.394014814363004</v>
      </c>
      <c r="H288">
        <v>70.694705863072201</v>
      </c>
      <c r="I288" t="str">
        <f t="shared" si="4"/>
        <v>shop</v>
      </c>
      <c r="J288" t="s">
        <v>982</v>
      </c>
    </row>
    <row r="289" spans="1:11" x14ac:dyDescent="0.2">
      <c r="A289" s="3" t="s">
        <v>437</v>
      </c>
      <c r="B289">
        <v>36.1845703125</v>
      </c>
      <c r="C289">
        <v>167.88923973767299</v>
      </c>
      <c r="D289">
        <v>28.105113380561999</v>
      </c>
      <c r="E289">
        <v>33.461522097045602</v>
      </c>
      <c r="F289">
        <v>0.95402839968710995</v>
      </c>
      <c r="G289">
        <v>74.825492453997896</v>
      </c>
      <c r="H289">
        <v>68.489074142463807</v>
      </c>
      <c r="I289" t="str">
        <f t="shared" si="4"/>
        <v>shop</v>
      </c>
      <c r="J289" t="s">
        <v>982</v>
      </c>
    </row>
    <row r="290" spans="1:11" x14ac:dyDescent="0.2">
      <c r="A290" s="3" t="s">
        <v>582</v>
      </c>
      <c r="B290">
        <v>353.841796875</v>
      </c>
      <c r="C290">
        <v>17.168689662024502</v>
      </c>
      <c r="D290">
        <v>33.697196942001199</v>
      </c>
      <c r="E290">
        <v>40.0281358600216</v>
      </c>
      <c r="F290">
        <v>0.97864693544307102</v>
      </c>
      <c r="G290">
        <v>88.508044294708398</v>
      </c>
      <c r="H290">
        <v>80.764776280089293</v>
      </c>
      <c r="I290" t="str">
        <f t="shared" si="4"/>
        <v>street</v>
      </c>
      <c r="J290" t="s">
        <v>982</v>
      </c>
      <c r="K290" s="4"/>
    </row>
    <row r="291" spans="1:11" x14ac:dyDescent="0.2">
      <c r="A291" s="3" t="s">
        <v>583</v>
      </c>
      <c r="B291">
        <v>316.09765625</v>
      </c>
      <c r="C291">
        <v>19.2187442073133</v>
      </c>
      <c r="D291">
        <v>33.032570604084597</v>
      </c>
      <c r="E291">
        <v>39.3646662179275</v>
      </c>
      <c r="F291">
        <v>0.97573657883985798</v>
      </c>
      <c r="G291">
        <v>87.194578835176301</v>
      </c>
      <c r="H291">
        <v>79.143932634248401</v>
      </c>
      <c r="I291" t="str">
        <f t="shared" si="4"/>
        <v>street</v>
      </c>
      <c r="J291" t="s">
        <v>982</v>
      </c>
      <c r="K291" s="4"/>
    </row>
    <row r="292" spans="1:11" x14ac:dyDescent="0.2">
      <c r="A292" s="3" t="s">
        <v>584</v>
      </c>
      <c r="B292">
        <v>281.7294921875</v>
      </c>
      <c r="C292">
        <v>21.563237674658801</v>
      </c>
      <c r="D292">
        <v>32.362863331649201</v>
      </c>
      <c r="E292">
        <v>38.694891746590201</v>
      </c>
      <c r="F292">
        <v>0.972381696417559</v>
      </c>
      <c r="G292">
        <v>85.864499282473403</v>
      </c>
      <c r="H292">
        <v>77.335729436376795</v>
      </c>
      <c r="I292" t="str">
        <f t="shared" si="4"/>
        <v>street</v>
      </c>
      <c r="J292" t="s">
        <v>982</v>
      </c>
      <c r="K292" s="4"/>
    </row>
    <row r="293" spans="1:11" x14ac:dyDescent="0.2">
      <c r="A293" s="3" t="s">
        <v>585</v>
      </c>
      <c r="B293">
        <v>251.5693359375</v>
      </c>
      <c r="C293">
        <v>24.148412116130402</v>
      </c>
      <c r="D293">
        <v>31.7134923776836</v>
      </c>
      <c r="E293">
        <v>38.046256167288199</v>
      </c>
      <c r="F293">
        <v>0.96872776587547904</v>
      </c>
      <c r="G293">
        <v>84.570647182323796</v>
      </c>
      <c r="H293">
        <v>75.437130006093</v>
      </c>
      <c r="I293" t="str">
        <f t="shared" si="4"/>
        <v>street</v>
      </c>
      <c r="J293" t="s">
        <v>982</v>
      </c>
      <c r="K293" s="4"/>
    </row>
    <row r="294" spans="1:11" x14ac:dyDescent="0.2">
      <c r="A294" s="3" t="s">
        <v>586</v>
      </c>
      <c r="B294">
        <v>223.6865234375</v>
      </c>
      <c r="C294">
        <v>27.1585427080832</v>
      </c>
      <c r="D294">
        <v>31.065866840303499</v>
      </c>
      <c r="E294">
        <v>37.4002931933478</v>
      </c>
      <c r="F294">
        <v>0.96468688364977995</v>
      </c>
      <c r="G294">
        <v>83.273988428973595</v>
      </c>
      <c r="H294">
        <v>73.420047418066602</v>
      </c>
      <c r="I294" t="str">
        <f t="shared" si="4"/>
        <v>street</v>
      </c>
      <c r="J294" t="s">
        <v>982</v>
      </c>
      <c r="K294" s="4"/>
    </row>
    <row r="295" spans="1:11" x14ac:dyDescent="0.2">
      <c r="A295" s="3" t="s">
        <v>587</v>
      </c>
      <c r="B295">
        <v>199.0029296875</v>
      </c>
      <c r="C295">
        <v>30.527188768224399</v>
      </c>
      <c r="D295">
        <v>30.418851024029401</v>
      </c>
      <c r="E295">
        <v>36.752949748632602</v>
      </c>
      <c r="F295">
        <v>0.96000429907530105</v>
      </c>
      <c r="G295">
        <v>81.962832354733195</v>
      </c>
      <c r="H295">
        <v>71.186371352482595</v>
      </c>
      <c r="I295" t="str">
        <f t="shared" si="4"/>
        <v>street</v>
      </c>
      <c r="J295" t="s">
        <v>982</v>
      </c>
      <c r="K295" s="4"/>
    </row>
    <row r="296" spans="1:11" x14ac:dyDescent="0.2">
      <c r="A296" s="3" t="s">
        <v>588</v>
      </c>
      <c r="B296">
        <v>176.1123046875</v>
      </c>
      <c r="C296">
        <v>34.495034351970503</v>
      </c>
      <c r="D296">
        <v>29.771886582117698</v>
      </c>
      <c r="E296">
        <v>36.105918729974299</v>
      </c>
      <c r="F296">
        <v>0.95472613768353298</v>
      </c>
      <c r="G296">
        <v>80.635463661780193</v>
      </c>
      <c r="H296">
        <v>68.795460982607906</v>
      </c>
      <c r="I296" t="str">
        <f t="shared" si="4"/>
        <v>street</v>
      </c>
      <c r="J296" t="s">
        <v>982</v>
      </c>
      <c r="K296" s="4"/>
    </row>
    <row r="297" spans="1:11" x14ac:dyDescent="0.2">
      <c r="A297" s="3" t="s">
        <v>589</v>
      </c>
      <c r="B297">
        <v>155.9873046875</v>
      </c>
      <c r="C297">
        <v>38.945477083346397</v>
      </c>
      <c r="D297">
        <v>29.134924375944799</v>
      </c>
      <c r="E297">
        <v>35.4699949992198</v>
      </c>
      <c r="F297">
        <v>0.948905021249421</v>
      </c>
      <c r="G297">
        <v>79.307431571364503</v>
      </c>
      <c r="H297">
        <v>66.305769409468695</v>
      </c>
      <c r="I297" t="str">
        <f t="shared" si="4"/>
        <v>street</v>
      </c>
      <c r="J297" t="s">
        <v>982</v>
      </c>
      <c r="K297" s="4"/>
    </row>
    <row r="298" spans="1:11" x14ac:dyDescent="0.2">
      <c r="A298" s="3" t="s">
        <v>590</v>
      </c>
      <c r="B298">
        <v>137.16796875</v>
      </c>
      <c r="C298">
        <v>44.288765484835501</v>
      </c>
      <c r="D298">
        <v>28.498138617176298</v>
      </c>
      <c r="E298">
        <v>34.833390150108102</v>
      </c>
      <c r="F298">
        <v>0.94243799934833705</v>
      </c>
      <c r="G298">
        <v>77.944904931836504</v>
      </c>
      <c r="H298">
        <v>63.709522178745601</v>
      </c>
      <c r="I298" t="str">
        <f t="shared" si="4"/>
        <v>street</v>
      </c>
      <c r="J298" t="s">
        <v>982</v>
      </c>
      <c r="K298" s="4"/>
    </row>
    <row r="299" spans="1:11" x14ac:dyDescent="0.2">
      <c r="A299" s="3" t="s">
        <v>591</v>
      </c>
      <c r="B299">
        <v>120.349609375</v>
      </c>
      <c r="C299">
        <v>50.477936999951297</v>
      </c>
      <c r="D299">
        <v>27.870211940252499</v>
      </c>
      <c r="E299">
        <v>34.207615107496601</v>
      </c>
      <c r="F299">
        <v>0.93511326715946297</v>
      </c>
      <c r="G299">
        <v>76.560188034110993</v>
      </c>
      <c r="H299">
        <v>60.969601219804197</v>
      </c>
      <c r="I299" t="str">
        <f t="shared" si="4"/>
        <v>street</v>
      </c>
      <c r="J299" t="s">
        <v>982</v>
      </c>
      <c r="K299" s="4"/>
    </row>
    <row r="300" spans="1:11" x14ac:dyDescent="0.2">
      <c r="A300" s="3" t="s">
        <v>592</v>
      </c>
      <c r="B300">
        <v>105.7373046875</v>
      </c>
      <c r="C300">
        <v>57.453705841606997</v>
      </c>
      <c r="D300">
        <v>27.270969957450902</v>
      </c>
      <c r="E300">
        <v>33.6087834542829</v>
      </c>
      <c r="F300">
        <v>0.92733419061855005</v>
      </c>
      <c r="G300">
        <v>75.176717103960797</v>
      </c>
      <c r="H300">
        <v>58.275164021504203</v>
      </c>
      <c r="I300" t="str">
        <f t="shared" si="4"/>
        <v>street</v>
      </c>
      <c r="J300" t="s">
        <v>982</v>
      </c>
      <c r="K300" s="4"/>
    </row>
    <row r="301" spans="1:11" x14ac:dyDescent="0.2">
      <c r="A301" s="3" t="s">
        <v>593</v>
      </c>
      <c r="B301">
        <v>92.3486328125</v>
      </c>
      <c r="C301">
        <v>65.783323639824502</v>
      </c>
      <c r="D301">
        <v>26.673396756230499</v>
      </c>
      <c r="E301">
        <v>33.012430554698099</v>
      </c>
      <c r="F301">
        <v>0.91870053184026201</v>
      </c>
      <c r="G301">
        <v>73.7217013360397</v>
      </c>
      <c r="H301">
        <v>55.5225491015917</v>
      </c>
      <c r="I301" t="str">
        <f t="shared" si="4"/>
        <v>street</v>
      </c>
      <c r="J301" t="s">
        <v>982</v>
      </c>
      <c r="K301" s="4"/>
    </row>
    <row r="302" spans="1:11" x14ac:dyDescent="0.2">
      <c r="A302" s="3" t="s">
        <v>594</v>
      </c>
      <c r="B302">
        <v>80.623046875</v>
      </c>
      <c r="C302">
        <v>75.350662564500098</v>
      </c>
      <c r="D302">
        <v>26.103769493660401</v>
      </c>
      <c r="E302">
        <v>32.444578571680402</v>
      </c>
      <c r="F302">
        <v>0.90920467987897302</v>
      </c>
      <c r="G302">
        <v>72.240902983525899</v>
      </c>
      <c r="H302">
        <v>52.757265597016598</v>
      </c>
      <c r="I302" t="str">
        <f t="shared" si="4"/>
        <v>street</v>
      </c>
      <c r="J302" t="s">
        <v>982</v>
      </c>
      <c r="K302" s="4"/>
    </row>
    <row r="303" spans="1:11" x14ac:dyDescent="0.2">
      <c r="A303" s="3" t="s">
        <v>595</v>
      </c>
      <c r="B303">
        <v>70.466796875</v>
      </c>
      <c r="C303">
        <v>86.210815155630698</v>
      </c>
      <c r="D303">
        <v>25.532763061987499</v>
      </c>
      <c r="E303">
        <v>31.875962130961</v>
      </c>
      <c r="F303">
        <v>0.89899158657918699</v>
      </c>
      <c r="G303">
        <v>70.637043622268607</v>
      </c>
      <c r="H303">
        <v>50.058690338183403</v>
      </c>
      <c r="I303" t="str">
        <f t="shared" si="4"/>
        <v>street</v>
      </c>
      <c r="J303" t="s">
        <v>982</v>
      </c>
      <c r="K303" s="4"/>
    </row>
    <row r="304" spans="1:11" x14ac:dyDescent="0.2">
      <c r="A304" s="3" t="s">
        <v>596</v>
      </c>
      <c r="B304">
        <v>61.2919921875</v>
      </c>
      <c r="C304">
        <v>99.115721045839095</v>
      </c>
      <c r="D304">
        <v>24.981431866409899</v>
      </c>
      <c r="E304">
        <v>31.326549462845801</v>
      </c>
      <c r="F304">
        <v>0.88853269159863002</v>
      </c>
      <c r="G304">
        <v>68.942389672392196</v>
      </c>
      <c r="H304">
        <v>47.559239758569703</v>
      </c>
      <c r="I304" t="str">
        <f t="shared" si="4"/>
        <v>street</v>
      </c>
      <c r="J304" t="s">
        <v>982</v>
      </c>
      <c r="K304" s="4"/>
    </row>
    <row r="305" spans="1:11" x14ac:dyDescent="0.2">
      <c r="A305" s="3" t="s">
        <v>597</v>
      </c>
      <c r="B305">
        <v>53.0517578125</v>
      </c>
      <c r="C305">
        <v>114.51081454210799</v>
      </c>
      <c r="D305">
        <v>24.461819077648698</v>
      </c>
      <c r="E305">
        <v>30.805136381720999</v>
      </c>
      <c r="F305">
        <v>0.87691613702073201</v>
      </c>
      <c r="G305">
        <v>67.174159998269104</v>
      </c>
      <c r="H305">
        <v>45.0601953187806</v>
      </c>
      <c r="I305" t="str">
        <f t="shared" si="4"/>
        <v>street</v>
      </c>
      <c r="J305" t="s">
        <v>982</v>
      </c>
      <c r="K305" s="4"/>
    </row>
    <row r="306" spans="1:11" x14ac:dyDescent="0.2">
      <c r="A306" s="3" t="s">
        <v>598</v>
      </c>
      <c r="B306">
        <v>150.5966796875</v>
      </c>
      <c r="C306">
        <v>40.339534793237803</v>
      </c>
      <c r="D306">
        <v>35.982793580937397</v>
      </c>
      <c r="E306">
        <v>44.051682599301898</v>
      </c>
      <c r="F306">
        <v>0.98392109501229397</v>
      </c>
      <c r="G306">
        <v>96.436954349758594</v>
      </c>
      <c r="H306">
        <v>83.830954112649593</v>
      </c>
      <c r="I306" t="str">
        <f t="shared" si="4"/>
        <v>tatemono</v>
      </c>
      <c r="J306" t="s">
        <v>982</v>
      </c>
      <c r="K306" s="4"/>
    </row>
    <row r="307" spans="1:11" x14ac:dyDescent="0.2">
      <c r="A307" s="3" t="s">
        <v>599</v>
      </c>
      <c r="B307">
        <v>132.73046875</v>
      </c>
      <c r="C307">
        <v>45.7694458341917</v>
      </c>
      <c r="D307">
        <v>35.406309210059703</v>
      </c>
      <c r="E307">
        <v>43.475306829329703</v>
      </c>
      <c r="F307">
        <v>0.98257654748904999</v>
      </c>
      <c r="G307">
        <v>95.302865382353005</v>
      </c>
      <c r="H307">
        <v>83.033126152388803</v>
      </c>
      <c r="I307" t="str">
        <f t="shared" si="4"/>
        <v>tatemono</v>
      </c>
      <c r="J307" t="s">
        <v>982</v>
      </c>
    </row>
    <row r="308" spans="1:11" x14ac:dyDescent="0.2">
      <c r="A308" s="3" t="s">
        <v>600</v>
      </c>
      <c r="B308">
        <v>117.359375</v>
      </c>
      <c r="C308">
        <v>51.764079350286202</v>
      </c>
      <c r="D308">
        <v>34.832196842188601</v>
      </c>
      <c r="E308">
        <v>42.901774469008998</v>
      </c>
      <c r="F308">
        <v>0.98093321591338201</v>
      </c>
      <c r="G308">
        <v>94.174077744721203</v>
      </c>
      <c r="H308">
        <v>82.073149177814898</v>
      </c>
      <c r="I308" t="str">
        <f t="shared" si="4"/>
        <v>tatemono</v>
      </c>
      <c r="J308" t="s">
        <v>982</v>
      </c>
    </row>
    <row r="309" spans="1:11" x14ac:dyDescent="0.2">
      <c r="A309" s="3" t="s">
        <v>601</v>
      </c>
      <c r="B309">
        <v>104.078125</v>
      </c>
      <c r="C309">
        <v>58.369614172046198</v>
      </c>
      <c r="D309">
        <v>34.246641973309501</v>
      </c>
      <c r="E309">
        <v>42.316447475491401</v>
      </c>
      <c r="F309">
        <v>0.97933015889728803</v>
      </c>
      <c r="G309">
        <v>93.021657164952103</v>
      </c>
      <c r="H309">
        <v>81.152488873500303</v>
      </c>
      <c r="I309" t="str">
        <f t="shared" si="4"/>
        <v>tatemono</v>
      </c>
      <c r="J309" t="s">
        <v>982</v>
      </c>
    </row>
    <row r="310" spans="1:11" x14ac:dyDescent="0.2">
      <c r="A310" s="3" t="s">
        <v>602</v>
      </c>
      <c r="B310">
        <v>92.5078125</v>
      </c>
      <c r="C310">
        <v>65.670129212059805</v>
      </c>
      <c r="D310">
        <v>33.637547557722598</v>
      </c>
      <c r="E310">
        <v>41.708741629792698</v>
      </c>
      <c r="F310">
        <v>0.97737754533923105</v>
      </c>
      <c r="G310">
        <v>91.824548676860601</v>
      </c>
      <c r="H310">
        <v>80.051749915211303</v>
      </c>
      <c r="I310" t="str">
        <f t="shared" si="4"/>
        <v>tatemono</v>
      </c>
      <c r="J310" t="s">
        <v>982</v>
      </c>
    </row>
    <row r="311" spans="1:11" x14ac:dyDescent="0.2">
      <c r="A311" s="3" t="s">
        <v>603</v>
      </c>
      <c r="B311">
        <v>82.2685546875</v>
      </c>
      <c r="C311">
        <v>73.843524091022402</v>
      </c>
      <c r="D311">
        <v>33.077379671083897</v>
      </c>
      <c r="E311">
        <v>41.148073449260302</v>
      </c>
      <c r="F311">
        <v>0.97511753193641304</v>
      </c>
      <c r="G311">
        <v>90.719308657511206</v>
      </c>
      <c r="H311">
        <v>78.805491141323301</v>
      </c>
      <c r="I311" t="str">
        <f t="shared" si="4"/>
        <v>tatemono</v>
      </c>
      <c r="J311" t="s">
        <v>982</v>
      </c>
    </row>
    <row r="312" spans="1:11" x14ac:dyDescent="0.2">
      <c r="A312" s="3" t="s">
        <v>604</v>
      </c>
      <c r="B312">
        <v>73.33203125</v>
      </c>
      <c r="C312">
        <v>82.842380013849706</v>
      </c>
      <c r="D312">
        <v>32.509008892845102</v>
      </c>
      <c r="E312">
        <v>40.579717017120203</v>
      </c>
      <c r="F312">
        <v>0.97277022608677099</v>
      </c>
      <c r="G312">
        <v>89.597837648204901</v>
      </c>
      <c r="H312">
        <v>77.541905853448995</v>
      </c>
      <c r="I312" t="str">
        <f t="shared" si="4"/>
        <v>tatemono</v>
      </c>
      <c r="J312" t="s">
        <v>982</v>
      </c>
    </row>
    <row r="313" spans="1:11" x14ac:dyDescent="0.2">
      <c r="A313" s="3" t="s">
        <v>605</v>
      </c>
      <c r="B313">
        <v>65.45703125</v>
      </c>
      <c r="C313">
        <v>92.808975353583605</v>
      </c>
      <c r="D313">
        <v>31.895393064016702</v>
      </c>
      <c r="E313">
        <v>39.966757924342403</v>
      </c>
      <c r="F313">
        <v>0.97000944472815398</v>
      </c>
      <c r="G313">
        <v>88.386668260035805</v>
      </c>
      <c r="H313">
        <v>76.094865335027606</v>
      </c>
      <c r="I313" t="str">
        <f t="shared" si="4"/>
        <v>tatemono</v>
      </c>
      <c r="J313" t="s">
        <v>982</v>
      </c>
    </row>
    <row r="314" spans="1:11" x14ac:dyDescent="0.2">
      <c r="A314" s="3" t="s">
        <v>606</v>
      </c>
      <c r="B314">
        <v>58.9140625</v>
      </c>
      <c r="C314">
        <v>103.116297573266</v>
      </c>
      <c r="D314">
        <v>31.298036361681199</v>
      </c>
      <c r="E314">
        <v>39.370586266149601</v>
      </c>
      <c r="F314">
        <v>0.967230613648</v>
      </c>
      <c r="G314">
        <v>87.206314434362099</v>
      </c>
      <c r="H314">
        <v>74.679872055283596</v>
      </c>
      <c r="I314" t="str">
        <f t="shared" si="4"/>
        <v>tatemono</v>
      </c>
      <c r="J314" t="s">
        <v>982</v>
      </c>
    </row>
    <row r="315" spans="1:11" x14ac:dyDescent="0.2">
      <c r="A315" s="3" t="s">
        <v>607</v>
      </c>
      <c r="B315">
        <v>52.8515625</v>
      </c>
      <c r="C315">
        <v>114.944567627494</v>
      </c>
      <c r="D315">
        <v>30.7088562396066</v>
      </c>
      <c r="E315">
        <v>38.782827004370702</v>
      </c>
      <c r="F315">
        <v>0.96375309739363202</v>
      </c>
      <c r="G315">
        <v>86.039423621097598</v>
      </c>
      <c r="H315">
        <v>72.965886402044404</v>
      </c>
      <c r="I315" t="str">
        <f t="shared" si="4"/>
        <v>tatemono</v>
      </c>
      <c r="J315" t="s">
        <v>982</v>
      </c>
    </row>
    <row r="316" spans="1:11" x14ac:dyDescent="0.2">
      <c r="A316" s="3" t="s">
        <v>608</v>
      </c>
      <c r="B316">
        <v>47.1259765625</v>
      </c>
      <c r="C316">
        <v>128.909795470087</v>
      </c>
      <c r="D316">
        <v>30.117461951750499</v>
      </c>
      <c r="E316">
        <v>38.191801518549802</v>
      </c>
      <c r="F316">
        <v>0.96044220911441902</v>
      </c>
      <c r="G316">
        <v>84.861579774538697</v>
      </c>
      <c r="H316">
        <v>71.390683057100006</v>
      </c>
      <c r="I316" t="str">
        <f t="shared" si="4"/>
        <v>tatemono</v>
      </c>
      <c r="J316" t="s">
        <v>982</v>
      </c>
    </row>
    <row r="317" spans="1:11" x14ac:dyDescent="0.2">
      <c r="A317" s="3" t="s">
        <v>609</v>
      </c>
      <c r="B317">
        <v>42.4697265625</v>
      </c>
      <c r="C317">
        <v>143.04306836211501</v>
      </c>
      <c r="D317">
        <v>29.518201571166099</v>
      </c>
      <c r="E317">
        <v>37.593169778263501</v>
      </c>
      <c r="F317">
        <v>0.95632979333510704</v>
      </c>
      <c r="G317">
        <v>83.662192154809603</v>
      </c>
      <c r="H317">
        <v>69.5080982905572</v>
      </c>
      <c r="I317" t="str">
        <f t="shared" si="4"/>
        <v>tatemono</v>
      </c>
      <c r="J317" t="s">
        <v>982</v>
      </c>
    </row>
    <row r="318" spans="1:11" x14ac:dyDescent="0.2">
      <c r="A318" s="3" t="s">
        <v>610</v>
      </c>
      <c r="B318">
        <v>38.068359375</v>
      </c>
      <c r="C318">
        <v>159.58134523626299</v>
      </c>
      <c r="D318">
        <v>28.939566502349098</v>
      </c>
      <c r="E318">
        <v>37.0148888216507</v>
      </c>
      <c r="F318">
        <v>0.95182286247632997</v>
      </c>
      <c r="G318">
        <v>82.495075274018106</v>
      </c>
      <c r="H318">
        <v>67.535009494825502</v>
      </c>
      <c r="I318" t="str">
        <f t="shared" si="4"/>
        <v>tatemono</v>
      </c>
      <c r="J318" t="s">
        <v>982</v>
      </c>
    </row>
    <row r="319" spans="1:11" x14ac:dyDescent="0.2">
      <c r="A319" s="3" t="s">
        <v>611</v>
      </c>
      <c r="B319">
        <v>34.326171875</v>
      </c>
      <c r="C319">
        <v>176.9786628734</v>
      </c>
      <c r="D319">
        <v>28.322715987225902</v>
      </c>
      <c r="E319">
        <v>36.400232990488199</v>
      </c>
      <c r="F319">
        <v>0.94730251837304302</v>
      </c>
      <c r="G319">
        <v>81.241736185552398</v>
      </c>
      <c r="H319">
        <v>65.646236663907104</v>
      </c>
      <c r="I319" t="str">
        <f t="shared" si="4"/>
        <v>tatemono</v>
      </c>
      <c r="J319" t="s">
        <v>982</v>
      </c>
    </row>
    <row r="320" spans="1:11" x14ac:dyDescent="0.2">
      <c r="A320" s="3" t="s">
        <v>612</v>
      </c>
      <c r="B320">
        <v>30.984375</v>
      </c>
      <c r="C320">
        <v>196.06656580937999</v>
      </c>
      <c r="D320">
        <v>27.761215403651899</v>
      </c>
      <c r="E320">
        <v>35.836708386955401</v>
      </c>
      <c r="F320">
        <v>0.94226021877205501</v>
      </c>
      <c r="G320">
        <v>80.076590151851605</v>
      </c>
      <c r="H320">
        <v>63.640559107329601</v>
      </c>
      <c r="I320" t="str">
        <f t="shared" si="4"/>
        <v>tatemono</v>
      </c>
      <c r="J320" t="s">
        <v>982</v>
      </c>
    </row>
    <row r="321" spans="1:10" x14ac:dyDescent="0.2">
      <c r="A321" s="3" t="s">
        <v>613</v>
      </c>
      <c r="B321">
        <v>27.94140625</v>
      </c>
      <c r="C321">
        <v>217.41926464420499</v>
      </c>
      <c r="D321">
        <v>27.182720469186702</v>
      </c>
      <c r="E321">
        <v>35.2636312619831</v>
      </c>
      <c r="F321">
        <v>0.93645021633654302</v>
      </c>
      <c r="G321">
        <v>78.869943092543494</v>
      </c>
      <c r="H321">
        <v>61.454527514092902</v>
      </c>
      <c r="I321" t="str">
        <f t="shared" si="4"/>
        <v>tatemono</v>
      </c>
      <c r="J321" t="s">
        <v>982</v>
      </c>
    </row>
    <row r="322" spans="1:10" x14ac:dyDescent="0.2">
      <c r="A322" s="3" t="s">
        <v>614</v>
      </c>
      <c r="B322">
        <v>167.9833984375</v>
      </c>
      <c r="C322">
        <v>36.164287998139699</v>
      </c>
      <c r="D322">
        <v>38.958718998779403</v>
      </c>
      <c r="E322">
        <v>43.609163330608901</v>
      </c>
      <c r="F322">
        <v>0.987989836018621</v>
      </c>
      <c r="G322">
        <v>95.566267115560805</v>
      </c>
      <c r="H322">
        <v>86.314926585742299</v>
      </c>
      <c r="I322" t="str">
        <f t="shared" si="4"/>
        <v>wedding</v>
      </c>
      <c r="J322" t="s">
        <v>982</v>
      </c>
    </row>
    <row r="323" spans="1:10" x14ac:dyDescent="0.2">
      <c r="A323" s="3" t="s">
        <v>615</v>
      </c>
      <c r="B323">
        <v>144.0634765625</v>
      </c>
      <c r="C323">
        <v>42.168911544796998</v>
      </c>
      <c r="D323">
        <v>38.4634922851832</v>
      </c>
      <c r="E323">
        <v>43.113872295789101</v>
      </c>
      <c r="F323">
        <v>0.98669811061659596</v>
      </c>
      <c r="G323">
        <v>94.591554835788898</v>
      </c>
      <c r="H323">
        <v>85.514813812498204</v>
      </c>
      <c r="I323" t="str">
        <f t="shared" ref="I323:I337" si="5">MID(A323,1,(FIND("yuv",A323))-1)</f>
        <v>wedding</v>
      </c>
      <c r="J323" t="s">
        <v>982</v>
      </c>
    </row>
    <row r="324" spans="1:10" x14ac:dyDescent="0.2">
      <c r="A324" s="3" t="s">
        <v>616</v>
      </c>
      <c r="B324">
        <v>124.736328125</v>
      </c>
      <c r="C324">
        <v>48.702732326000202</v>
      </c>
      <c r="D324">
        <v>37.954803409072397</v>
      </c>
      <c r="E324">
        <v>42.6051812916863</v>
      </c>
      <c r="F324">
        <v>0.98523816878838499</v>
      </c>
      <c r="G324">
        <v>93.590192561551603</v>
      </c>
      <c r="H324">
        <v>84.623458516194901</v>
      </c>
      <c r="I324" t="str">
        <f t="shared" si="5"/>
        <v>wedding</v>
      </c>
      <c r="J324" t="s">
        <v>982</v>
      </c>
    </row>
    <row r="325" spans="1:10" x14ac:dyDescent="0.2">
      <c r="A325" s="3" t="s">
        <v>617</v>
      </c>
      <c r="B325">
        <v>108.7744140625</v>
      </c>
      <c r="C325">
        <v>55.849530906315898</v>
      </c>
      <c r="D325">
        <v>37.454253936028003</v>
      </c>
      <c r="E325">
        <v>42.104557552584502</v>
      </c>
      <c r="F325">
        <v>0.98365597657660997</v>
      </c>
      <c r="G325">
        <v>92.604342957252001</v>
      </c>
      <c r="H325">
        <v>83.672746852576395</v>
      </c>
      <c r="I325" t="str">
        <f t="shared" si="5"/>
        <v>wedding</v>
      </c>
      <c r="J325" t="s">
        <v>982</v>
      </c>
    </row>
    <row r="326" spans="1:10" x14ac:dyDescent="0.2">
      <c r="A326" s="3" t="s">
        <v>618</v>
      </c>
      <c r="B326">
        <v>95.18359375</v>
      </c>
      <c r="C326">
        <v>63.824024295153301</v>
      </c>
      <c r="D326">
        <v>36.955703171480401</v>
      </c>
      <c r="E326">
        <v>41.606250967294301</v>
      </c>
      <c r="F326">
        <v>0.98182880902621394</v>
      </c>
      <c r="G326">
        <v>91.622574150562102</v>
      </c>
      <c r="H326">
        <v>82.594273437458199</v>
      </c>
      <c r="I326" t="str">
        <f t="shared" si="5"/>
        <v>wedding</v>
      </c>
      <c r="J326" t="s">
        <v>982</v>
      </c>
    </row>
    <row r="327" spans="1:10" x14ac:dyDescent="0.2">
      <c r="A327" s="3" t="s">
        <v>619</v>
      </c>
      <c r="B327">
        <v>83.6640625</v>
      </c>
      <c r="C327">
        <v>72.6118218321038</v>
      </c>
      <c r="D327">
        <v>36.443452609230498</v>
      </c>
      <c r="E327">
        <v>41.094632773276402</v>
      </c>
      <c r="F327">
        <v>0.97981183628586099</v>
      </c>
      <c r="G327">
        <v>90.613911942473294</v>
      </c>
      <c r="H327">
        <v>81.427500925886307</v>
      </c>
      <c r="I327" t="str">
        <f t="shared" si="5"/>
        <v>wedding</v>
      </c>
      <c r="J327" t="s">
        <v>982</v>
      </c>
    </row>
    <row r="328" spans="1:10" x14ac:dyDescent="0.2">
      <c r="A328" s="3" t="s">
        <v>620</v>
      </c>
      <c r="B328">
        <v>73.51171875</v>
      </c>
      <c r="C328">
        <v>82.639885222381594</v>
      </c>
      <c r="D328">
        <v>35.939902416109703</v>
      </c>
      <c r="E328">
        <v>40.5909235214652</v>
      </c>
      <c r="F328">
        <v>0.97752386839670802</v>
      </c>
      <c r="G328">
        <v>89.619962983405301</v>
      </c>
      <c r="H328">
        <v>80.133458451876095</v>
      </c>
      <c r="I328" t="str">
        <f t="shared" si="5"/>
        <v>wedding</v>
      </c>
      <c r="J328" t="s">
        <v>982</v>
      </c>
    </row>
    <row r="329" spans="1:10" x14ac:dyDescent="0.2">
      <c r="A329" s="3" t="s">
        <v>621</v>
      </c>
      <c r="B329">
        <v>64.5849609375</v>
      </c>
      <c r="C329">
        <v>94.062145611249704</v>
      </c>
      <c r="D329">
        <v>35.441148161475702</v>
      </c>
      <c r="E329">
        <v>40.092160931785799</v>
      </c>
      <c r="F329">
        <v>0.97497691660057395</v>
      </c>
      <c r="G329">
        <v>88.634629931719601</v>
      </c>
      <c r="H329">
        <v>78.728919717686495</v>
      </c>
      <c r="I329" t="str">
        <f t="shared" si="5"/>
        <v>wedding</v>
      </c>
      <c r="J329" t="s">
        <v>982</v>
      </c>
    </row>
    <row r="330" spans="1:10" x14ac:dyDescent="0.2">
      <c r="A330" s="3" t="s">
        <v>622</v>
      </c>
      <c r="B330">
        <v>56.8935546875</v>
      </c>
      <c r="C330">
        <v>106.778351842634</v>
      </c>
      <c r="D330">
        <v>34.9452566909073</v>
      </c>
      <c r="E330">
        <v>39.596708163611297</v>
      </c>
      <c r="F330">
        <v>0.97225689408491101</v>
      </c>
      <c r="G330">
        <v>87.6543376160229</v>
      </c>
      <c r="H330">
        <v>77.269679479957603</v>
      </c>
      <c r="I330" t="str">
        <f t="shared" si="5"/>
        <v>wedding</v>
      </c>
      <c r="J330" t="s">
        <v>982</v>
      </c>
    </row>
    <row r="331" spans="1:10" x14ac:dyDescent="0.2">
      <c r="A331" s="3" t="s">
        <v>623</v>
      </c>
      <c r="B331">
        <v>50.0576171875</v>
      </c>
      <c r="C331">
        <v>121.360151388049</v>
      </c>
      <c r="D331">
        <v>34.4590800197075</v>
      </c>
      <c r="E331">
        <v>39.110717305181602</v>
      </c>
      <c r="F331">
        <v>0.96944080742632399</v>
      </c>
      <c r="G331">
        <v>86.690847466729196</v>
      </c>
      <c r="H331">
        <v>75.801964540166196</v>
      </c>
      <c r="I331" t="str">
        <f t="shared" si="5"/>
        <v>wedding</v>
      </c>
      <c r="J331" t="s">
        <v>982</v>
      </c>
    </row>
    <row r="332" spans="1:10" x14ac:dyDescent="0.2">
      <c r="A332" s="3" t="s">
        <v>624</v>
      </c>
      <c r="B332">
        <v>43.966796875</v>
      </c>
      <c r="C332">
        <v>138.17244902492101</v>
      </c>
      <c r="D332">
        <v>33.960060847701698</v>
      </c>
      <c r="E332">
        <v>38.611764744738799</v>
      </c>
      <c r="F332">
        <v>0.96642518919840104</v>
      </c>
      <c r="G332">
        <v>85.699044865073304</v>
      </c>
      <c r="H332">
        <v>74.277353445052299</v>
      </c>
      <c r="I332" t="str">
        <f t="shared" si="5"/>
        <v>wedding</v>
      </c>
      <c r="J332" t="s">
        <v>982</v>
      </c>
    </row>
    <row r="333" spans="1:10" x14ac:dyDescent="0.2">
      <c r="A333" s="3" t="s">
        <v>625</v>
      </c>
      <c r="B333">
        <v>38.83203125</v>
      </c>
      <c r="C333">
        <v>156.44301378130999</v>
      </c>
      <c r="D333">
        <v>33.490243200566901</v>
      </c>
      <c r="E333">
        <v>38.142499525016802</v>
      </c>
      <c r="F333">
        <v>0.96337564842781698</v>
      </c>
      <c r="G333">
        <v>84.763073013806505</v>
      </c>
      <c r="H333">
        <v>72.783557631481003</v>
      </c>
      <c r="I333" t="str">
        <f t="shared" si="5"/>
        <v>wedding</v>
      </c>
      <c r="J333" t="s">
        <v>982</v>
      </c>
    </row>
    <row r="334" spans="1:10" x14ac:dyDescent="0.2">
      <c r="A334" s="3" t="s">
        <v>626</v>
      </c>
      <c r="B334">
        <v>34.2001953125</v>
      </c>
      <c r="C334">
        <v>177.63056451843201</v>
      </c>
      <c r="D334">
        <v>32.997525948865899</v>
      </c>
      <c r="E334">
        <v>37.650525075249803</v>
      </c>
      <c r="F334">
        <v>0.96014753683319698</v>
      </c>
      <c r="G334">
        <v>83.777448408827397</v>
      </c>
      <c r="H334">
        <v>71.253098223451602</v>
      </c>
      <c r="I334" t="str">
        <f t="shared" si="5"/>
        <v>wedding</v>
      </c>
      <c r="J334" t="s">
        <v>982</v>
      </c>
    </row>
    <row r="335" spans="1:10" x14ac:dyDescent="0.2">
      <c r="A335" s="3" t="s">
        <v>627</v>
      </c>
      <c r="B335">
        <v>30.3388671875</v>
      </c>
      <c r="C335">
        <v>200.238194869154</v>
      </c>
      <c r="D335">
        <v>32.545193413873299</v>
      </c>
      <c r="E335">
        <v>37.197120523678798</v>
      </c>
      <c r="F335">
        <v>0.95680214707163003</v>
      </c>
      <c r="G335">
        <v>82.863943803159103</v>
      </c>
      <c r="H335">
        <v>69.720272094119807</v>
      </c>
      <c r="I335" t="str">
        <f t="shared" si="5"/>
        <v>wedding</v>
      </c>
      <c r="J335" t="s">
        <v>982</v>
      </c>
    </row>
    <row r="336" spans="1:10" x14ac:dyDescent="0.2">
      <c r="A336" s="3" t="s">
        <v>628</v>
      </c>
      <c r="B336">
        <v>26.80078125</v>
      </c>
      <c r="C336">
        <v>226.67249672059501</v>
      </c>
      <c r="D336">
        <v>32.079994965244303</v>
      </c>
      <c r="E336">
        <v>36.733378517366901</v>
      </c>
      <c r="F336">
        <v>0.95334154762203505</v>
      </c>
      <c r="G336">
        <v>81.922960019312896</v>
      </c>
      <c r="H336">
        <v>68.189620845857704</v>
      </c>
      <c r="I336" t="str">
        <f t="shared" si="5"/>
        <v>wedding</v>
      </c>
      <c r="J336" t="s">
        <v>982</v>
      </c>
    </row>
    <row r="337" spans="1:10" x14ac:dyDescent="0.2">
      <c r="A337" s="3" t="s">
        <v>629</v>
      </c>
      <c r="B337">
        <v>23.890625</v>
      </c>
      <c r="C337">
        <v>254.283845650752</v>
      </c>
      <c r="D337">
        <v>31.617436487297802</v>
      </c>
      <c r="E337">
        <v>36.269939625624701</v>
      </c>
      <c r="F337">
        <v>0.95038366490507198</v>
      </c>
      <c r="G337">
        <v>80.973898633118907</v>
      </c>
      <c r="H337">
        <v>66.924070483909901</v>
      </c>
      <c r="I337" t="str">
        <f t="shared" si="5"/>
        <v>wedding</v>
      </c>
      <c r="J337" t="s">
        <v>982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N28" sqref="N28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673"/>
  <sheetViews>
    <sheetView tabSelected="1" workbookViewId="0">
      <selection activeCell="C144" sqref="C144"/>
    </sheetView>
  </sheetViews>
  <sheetFormatPr defaultRowHeight="14.25" x14ac:dyDescent="0.2"/>
  <cols>
    <col min="12" max="12" width="21.5" customWidth="1"/>
    <col min="13" max="33" width="12.75" customWidth="1"/>
    <col min="34" max="34" width="16.375" bestFit="1" customWidth="1"/>
    <col min="35" max="55" width="12.75" bestFit="1" customWidth="1"/>
    <col min="56" max="57" width="12.75" customWidth="1"/>
    <col min="58" max="76" width="21.5" bestFit="1" customWidth="1"/>
    <col min="77" max="77" width="16.375" bestFit="1" customWidth="1"/>
    <col min="78" max="96" width="12.75" bestFit="1" customWidth="1"/>
    <col min="97" max="98" width="12.75" customWidth="1"/>
    <col min="99" max="99" width="12.75" bestFit="1" customWidth="1"/>
    <col min="100" max="100" width="16.75" bestFit="1" customWidth="1"/>
    <col min="101" max="101" width="25.625" bestFit="1" customWidth="1"/>
  </cols>
  <sheetData>
    <row r="1" spans="1:14" x14ac:dyDescent="0.2">
      <c r="A1" s="3" t="s">
        <v>0</v>
      </c>
      <c r="B1" s="3" t="s">
        <v>1</v>
      </c>
      <c r="C1" s="3" t="s">
        <v>2</v>
      </c>
      <c r="D1" s="3" t="s">
        <v>3</v>
      </c>
      <c r="E1" s="6" t="s">
        <v>4</v>
      </c>
      <c r="F1" s="3" t="s">
        <v>5</v>
      </c>
      <c r="G1" s="3" t="s">
        <v>6</v>
      </c>
      <c r="H1" s="3" t="s">
        <v>7</v>
      </c>
      <c r="I1" s="3" t="s">
        <v>983</v>
      </c>
      <c r="J1" s="3" t="s">
        <v>979</v>
      </c>
    </row>
    <row r="2" spans="1:14" hidden="1" x14ac:dyDescent="0.2">
      <c r="A2" s="3" t="s">
        <v>679</v>
      </c>
      <c r="B2" s="6">
        <v>374.423828125</v>
      </c>
      <c r="C2" s="6">
        <v>16.224928927257999</v>
      </c>
      <c r="D2" s="6">
        <v>29.460354979950498</v>
      </c>
      <c r="E2" s="6">
        <v>37.0168454698901</v>
      </c>
      <c r="F2" s="6">
        <v>0.97886525548505998</v>
      </c>
      <c r="G2" s="6">
        <v>82.499041730239796</v>
      </c>
      <c r="H2" s="6">
        <v>80.888366154787903</v>
      </c>
      <c r="I2" t="str">
        <f>MID(A2,1,(FIND(".ppm",A2))-1)</f>
        <v>bar</v>
      </c>
      <c r="J2" t="s">
        <v>980</v>
      </c>
    </row>
    <row r="3" spans="1:14" hidden="1" x14ac:dyDescent="0.2">
      <c r="A3" s="3" t="s">
        <v>680</v>
      </c>
      <c r="B3" s="6">
        <v>390.318359375</v>
      </c>
      <c r="C3" s="6">
        <v>15.564217911060201</v>
      </c>
      <c r="D3" s="6">
        <v>29.615299045312099</v>
      </c>
      <c r="E3" s="6">
        <v>37.170466956173897</v>
      </c>
      <c r="F3" s="6">
        <v>0.97941317205841905</v>
      </c>
      <c r="G3" s="6">
        <v>82.810059320378798</v>
      </c>
      <c r="H3" s="6">
        <v>81.199786071652596</v>
      </c>
      <c r="I3" t="str">
        <f t="shared" ref="I3:I66" si="0">MID(A3,1,(FIND(".ppm",A3))-1)</f>
        <v>bar</v>
      </c>
      <c r="J3" t="s">
        <v>980</v>
      </c>
    </row>
    <row r="4" spans="1:14" hidden="1" x14ac:dyDescent="0.2">
      <c r="A4" s="3" t="s">
        <v>681</v>
      </c>
      <c r="B4" s="6">
        <v>403.2841796875</v>
      </c>
      <c r="C4" s="6">
        <v>15.0638192767875</v>
      </c>
      <c r="D4" s="6">
        <v>29.739442319846098</v>
      </c>
      <c r="E4" s="6">
        <v>37.294701082817099</v>
      </c>
      <c r="F4" s="6">
        <v>0.97976834877390895</v>
      </c>
      <c r="G4" s="6">
        <v>83.061032886325606</v>
      </c>
      <c r="H4" s="6">
        <v>81.402614871695107</v>
      </c>
      <c r="I4" t="str">
        <f t="shared" si="0"/>
        <v>bar</v>
      </c>
      <c r="J4" t="s">
        <v>980</v>
      </c>
    </row>
    <row r="5" spans="1:14" hidden="1" x14ac:dyDescent="0.2">
      <c r="A5" s="3" t="s">
        <v>682</v>
      </c>
      <c r="B5" s="6">
        <v>421.95703125</v>
      </c>
      <c r="C5" s="6">
        <v>14.397200544338601</v>
      </c>
      <c r="D5" s="6">
        <v>29.8956296557784</v>
      </c>
      <c r="E5" s="6">
        <v>37.4508579384417</v>
      </c>
      <c r="F5" s="6">
        <v>0.98029813395861498</v>
      </c>
      <c r="G5" s="6">
        <v>83.375855622101398</v>
      </c>
      <c r="H5" s="6">
        <v>81.706561833991103</v>
      </c>
      <c r="I5" t="str">
        <f t="shared" si="0"/>
        <v>bar</v>
      </c>
      <c r="J5" t="s">
        <v>980</v>
      </c>
    </row>
    <row r="6" spans="1:14" hidden="1" x14ac:dyDescent="0.2">
      <c r="A6" s="3" t="s">
        <v>683</v>
      </c>
      <c r="B6" s="6">
        <v>437.1396484375</v>
      </c>
      <c r="C6" s="6">
        <v>13.897160831131</v>
      </c>
      <c r="D6" s="6">
        <v>30.043910804066801</v>
      </c>
      <c r="E6" s="6">
        <v>37.599831608751401</v>
      </c>
      <c r="F6" s="6">
        <v>0.98077197251416104</v>
      </c>
      <c r="G6" s="6">
        <v>83.675583341831</v>
      </c>
      <c r="H6" s="6">
        <v>81.979843792482399</v>
      </c>
      <c r="I6" t="str">
        <f t="shared" si="0"/>
        <v>bar</v>
      </c>
      <c r="J6" t="s">
        <v>980</v>
      </c>
      <c r="L6" s="7"/>
      <c r="M6" s="5"/>
      <c r="N6" s="5"/>
    </row>
    <row r="7" spans="1:14" hidden="1" x14ac:dyDescent="0.2">
      <c r="A7" s="3" t="s">
        <v>684</v>
      </c>
      <c r="B7" s="6">
        <v>456.0732421875</v>
      </c>
      <c r="C7" s="6">
        <v>13.3202289414349</v>
      </c>
      <c r="D7" s="6">
        <v>30.213572814104701</v>
      </c>
      <c r="E7" s="6">
        <v>37.7693833305105</v>
      </c>
      <c r="F7" s="6">
        <v>0.98127722390361305</v>
      </c>
      <c r="G7" s="6">
        <v>84.016046479472493</v>
      </c>
      <c r="H7" s="6">
        <v>82.272741046742993</v>
      </c>
      <c r="I7" t="str">
        <f t="shared" si="0"/>
        <v>bar</v>
      </c>
      <c r="J7" t="s">
        <v>980</v>
      </c>
      <c r="L7" s="7"/>
      <c r="M7" s="5"/>
      <c r="N7" s="5"/>
    </row>
    <row r="8" spans="1:14" hidden="1" x14ac:dyDescent="0.2">
      <c r="A8" s="3" t="s">
        <v>685</v>
      </c>
      <c r="B8" s="6">
        <v>480.083984375</v>
      </c>
      <c r="C8" s="6">
        <v>12.654035955623</v>
      </c>
      <c r="D8" s="6">
        <v>30.410965143307401</v>
      </c>
      <c r="E8" s="6">
        <v>37.966630301653602</v>
      </c>
      <c r="F8" s="6">
        <v>0.98187212382324796</v>
      </c>
      <c r="G8" s="6">
        <v>84.411311364147494</v>
      </c>
      <c r="H8" s="6">
        <v>82.619601465811002</v>
      </c>
      <c r="I8" t="str">
        <f t="shared" si="0"/>
        <v>bar</v>
      </c>
      <c r="J8" t="s">
        <v>980</v>
      </c>
      <c r="L8" s="7"/>
      <c r="M8" s="5"/>
      <c r="N8" s="5"/>
    </row>
    <row r="9" spans="1:14" hidden="1" x14ac:dyDescent="0.2">
      <c r="A9" s="3" t="s">
        <v>686</v>
      </c>
      <c r="B9" s="6">
        <v>501.763671875</v>
      </c>
      <c r="C9" s="6">
        <v>12.107293414245801</v>
      </c>
      <c r="D9" s="6">
        <v>30.5918003519505</v>
      </c>
      <c r="E9" s="6">
        <v>38.145312257971</v>
      </c>
      <c r="F9" s="6">
        <v>0.98234883297144604</v>
      </c>
      <c r="G9" s="6">
        <v>84.768694113883697</v>
      </c>
      <c r="H9" s="6">
        <v>82.899114643780905</v>
      </c>
      <c r="I9" t="str">
        <f t="shared" si="0"/>
        <v>bar</v>
      </c>
      <c r="J9" t="s">
        <v>980</v>
      </c>
      <c r="L9" s="7"/>
      <c r="M9" s="5"/>
      <c r="N9" s="5"/>
    </row>
    <row r="10" spans="1:14" hidden="1" x14ac:dyDescent="0.2">
      <c r="A10" s="3" t="s">
        <v>687</v>
      </c>
      <c r="B10" s="6">
        <v>535.8984375</v>
      </c>
      <c r="C10" s="6">
        <v>11.33610321452</v>
      </c>
      <c r="D10" s="6">
        <v>30.828608756505801</v>
      </c>
      <c r="E10" s="6">
        <v>38.382559387626898</v>
      </c>
      <c r="F10" s="6">
        <v>0.98303630587997004</v>
      </c>
      <c r="G10" s="6">
        <v>85.242323622398104</v>
      </c>
      <c r="H10" s="6">
        <v>83.304673674042306</v>
      </c>
      <c r="I10" t="str">
        <f t="shared" si="0"/>
        <v>bar</v>
      </c>
      <c r="J10" t="s">
        <v>980</v>
      </c>
      <c r="L10" s="7"/>
      <c r="M10" s="5"/>
      <c r="N10" s="5"/>
    </row>
    <row r="11" spans="1:14" hidden="1" x14ac:dyDescent="0.2">
      <c r="A11" s="3" t="s">
        <v>688</v>
      </c>
      <c r="B11" s="6">
        <v>562.8564453125</v>
      </c>
      <c r="C11" s="6">
        <v>10.7931605840049</v>
      </c>
      <c r="D11" s="6">
        <v>31.064866272537898</v>
      </c>
      <c r="E11" s="6">
        <v>38.618617049114498</v>
      </c>
      <c r="F11" s="6">
        <v>0.98369730767866703</v>
      </c>
      <c r="G11" s="6">
        <v>85.712687158072598</v>
      </c>
      <c r="H11" s="6">
        <v>83.697381930410998</v>
      </c>
      <c r="I11" t="str">
        <f t="shared" si="0"/>
        <v>bar</v>
      </c>
      <c r="J11" t="s">
        <v>980</v>
      </c>
      <c r="L11" s="7"/>
      <c r="M11" s="5"/>
      <c r="N11" s="5"/>
    </row>
    <row r="12" spans="1:14" hidden="1" x14ac:dyDescent="0.2">
      <c r="A12" s="3" t="s">
        <v>122</v>
      </c>
      <c r="B12" s="6">
        <v>608.0390625</v>
      </c>
      <c r="C12" s="6">
        <v>9.9911344100528101</v>
      </c>
      <c r="D12" s="6">
        <v>31.379444812677001</v>
      </c>
      <c r="E12" s="6">
        <v>38.934487748944498</v>
      </c>
      <c r="F12" s="6">
        <v>0.98461262691310703</v>
      </c>
      <c r="G12" s="6">
        <v>86.340885133231893</v>
      </c>
      <c r="H12" s="6">
        <v>84.245695328419302</v>
      </c>
      <c r="I12" t="str">
        <f t="shared" si="0"/>
        <v>bar</v>
      </c>
      <c r="J12" t="s">
        <v>980</v>
      </c>
      <c r="L12" s="7"/>
      <c r="M12" s="5"/>
      <c r="N12" s="5"/>
    </row>
    <row r="13" spans="1:14" hidden="1" x14ac:dyDescent="0.2">
      <c r="A13" s="3" t="s">
        <v>123</v>
      </c>
      <c r="B13" s="6">
        <v>652.46484375</v>
      </c>
      <c r="C13" s="6">
        <v>9.3108464895737892</v>
      </c>
      <c r="D13" s="6">
        <v>31.720718591564701</v>
      </c>
      <c r="E13" s="6">
        <v>39.275729484284902</v>
      </c>
      <c r="F13" s="6">
        <v>0.98554567530745996</v>
      </c>
      <c r="G13" s="6">
        <v>87.018236079462397</v>
      </c>
      <c r="H13" s="6">
        <v>84.810071289642806</v>
      </c>
      <c r="I13" t="str">
        <f t="shared" si="0"/>
        <v>bar</v>
      </c>
      <c r="J13" t="s">
        <v>980</v>
      </c>
      <c r="L13" s="7"/>
      <c r="M13" s="5"/>
      <c r="N13" s="5"/>
    </row>
    <row r="14" spans="1:14" hidden="1" x14ac:dyDescent="0.2">
      <c r="A14" s="3" t="s">
        <v>124</v>
      </c>
      <c r="B14" s="6">
        <v>693.5908203125</v>
      </c>
      <c r="C14" s="6">
        <v>8.7587664399348402</v>
      </c>
      <c r="D14" s="6">
        <v>32.092948766808199</v>
      </c>
      <c r="E14" s="6">
        <v>39.647678849843999</v>
      </c>
      <c r="F14" s="6">
        <v>0.98646239595114504</v>
      </c>
      <c r="G14" s="6">
        <v>87.755269111518302</v>
      </c>
      <c r="H14" s="6">
        <v>85.369974787267907</v>
      </c>
      <c r="I14" t="str">
        <f t="shared" si="0"/>
        <v>bar</v>
      </c>
      <c r="J14" t="s">
        <v>980</v>
      </c>
      <c r="L14" s="7"/>
      <c r="M14" s="5"/>
      <c r="N14" s="5"/>
    </row>
    <row r="15" spans="1:14" hidden="1" x14ac:dyDescent="0.2">
      <c r="A15" s="3" t="s">
        <v>125</v>
      </c>
      <c r="B15" s="6">
        <v>764.2216796875</v>
      </c>
      <c r="C15" s="6">
        <v>7.94926414870113</v>
      </c>
      <c r="D15" s="6">
        <v>32.592452843639201</v>
      </c>
      <c r="E15" s="6">
        <v>40.1467797314778</v>
      </c>
      <c r="F15" s="6">
        <v>0.98767901244366896</v>
      </c>
      <c r="G15" s="6">
        <v>88.742598557298606</v>
      </c>
      <c r="H15" s="6">
        <v>86.121406521149297</v>
      </c>
      <c r="I15" t="str">
        <f t="shared" si="0"/>
        <v>bar</v>
      </c>
      <c r="J15" t="s">
        <v>980</v>
      </c>
      <c r="L15" s="7"/>
      <c r="M15" s="5"/>
      <c r="N15" s="5"/>
    </row>
    <row r="16" spans="1:14" hidden="1" x14ac:dyDescent="0.2">
      <c r="A16" s="3" t="s">
        <v>126</v>
      </c>
      <c r="B16" s="6">
        <v>854.2939453125</v>
      </c>
      <c r="C16" s="6">
        <v>7.1111354977211896</v>
      </c>
      <c r="D16" s="6">
        <v>33.249406181719202</v>
      </c>
      <c r="E16" s="6">
        <v>40.803797120446198</v>
      </c>
      <c r="F16" s="6">
        <v>0.98914796024149199</v>
      </c>
      <c r="G16" s="6">
        <v>90.040141078150796</v>
      </c>
      <c r="H16" s="6">
        <v>87.041560784299193</v>
      </c>
      <c r="I16" t="str">
        <f t="shared" si="0"/>
        <v>bar</v>
      </c>
      <c r="J16" t="s">
        <v>980</v>
      </c>
      <c r="L16" s="7"/>
      <c r="M16" s="5"/>
      <c r="N16" s="5"/>
    </row>
    <row r="17" spans="1:14" hidden="1" x14ac:dyDescent="0.2">
      <c r="A17" s="3" t="s">
        <v>127</v>
      </c>
      <c r="B17" s="6">
        <v>950.904296875</v>
      </c>
      <c r="C17" s="6">
        <v>6.3886555355408001</v>
      </c>
      <c r="D17" s="6">
        <v>34.037613724776399</v>
      </c>
      <c r="E17" s="6">
        <v>41.591859500892497</v>
      </c>
      <c r="F17" s="6">
        <v>0.99071165778838899</v>
      </c>
      <c r="G17" s="6">
        <v>91.594211309573694</v>
      </c>
      <c r="H17" s="6">
        <v>88.0367749079264</v>
      </c>
      <c r="I17" t="str">
        <f t="shared" si="0"/>
        <v>bar</v>
      </c>
      <c r="J17" t="s">
        <v>980</v>
      </c>
      <c r="L17" s="7"/>
      <c r="M17" s="5"/>
      <c r="N17" s="5"/>
    </row>
    <row r="18" spans="1:14" hidden="1" x14ac:dyDescent="0.2">
      <c r="A18" s="3" t="s">
        <v>689</v>
      </c>
      <c r="B18" s="6">
        <v>585.076171875</v>
      </c>
      <c r="C18" s="6">
        <v>10.3832633971939</v>
      </c>
      <c r="D18" s="6">
        <v>25.394923707827701</v>
      </c>
      <c r="E18" s="6">
        <v>33.090861005334297</v>
      </c>
      <c r="F18" s="6">
        <v>0.93326102602886096</v>
      </c>
      <c r="G18" s="6">
        <v>73.918326409495407</v>
      </c>
      <c r="H18" s="6">
        <v>60.308596014364397</v>
      </c>
      <c r="I18" t="str">
        <f t="shared" si="0"/>
        <v>boston</v>
      </c>
      <c r="J18" t="s">
        <v>980</v>
      </c>
      <c r="L18" s="7"/>
      <c r="M18" s="5"/>
      <c r="N18" s="5"/>
    </row>
    <row r="19" spans="1:14" hidden="1" x14ac:dyDescent="0.2">
      <c r="A19" s="3" t="s">
        <v>690</v>
      </c>
      <c r="B19" s="6">
        <v>606.814453125</v>
      </c>
      <c r="C19" s="6">
        <v>10.0112974711045</v>
      </c>
      <c r="D19" s="6">
        <v>25.633790267593</v>
      </c>
      <c r="E19" s="6">
        <v>33.329023050504802</v>
      </c>
      <c r="F19" s="6">
        <v>0.93564887181063305</v>
      </c>
      <c r="G19" s="6">
        <v>74.505186661942403</v>
      </c>
      <c r="H19" s="6">
        <v>61.163077567593497</v>
      </c>
      <c r="I19" t="str">
        <f t="shared" si="0"/>
        <v>boston</v>
      </c>
      <c r="J19" t="s">
        <v>980</v>
      </c>
      <c r="L19" s="7"/>
      <c r="M19" s="5"/>
      <c r="N19" s="5"/>
    </row>
    <row r="20" spans="1:14" hidden="1" x14ac:dyDescent="0.2">
      <c r="A20" s="3" t="s">
        <v>691</v>
      </c>
      <c r="B20" s="6">
        <v>628.138671875</v>
      </c>
      <c r="C20" s="6">
        <v>9.6714312810355505</v>
      </c>
      <c r="D20" s="6">
        <v>25.870506152004602</v>
      </c>
      <c r="E20" s="6">
        <v>33.565748163387397</v>
      </c>
      <c r="F20" s="6">
        <v>0.93791453706702499</v>
      </c>
      <c r="G20" s="6">
        <v>75.074575132693198</v>
      </c>
      <c r="H20" s="6">
        <v>61.993299796453599</v>
      </c>
      <c r="I20" t="str">
        <f t="shared" si="0"/>
        <v>boston</v>
      </c>
      <c r="J20" t="s">
        <v>980</v>
      </c>
      <c r="L20" s="7"/>
      <c r="M20" s="5"/>
      <c r="N20" s="5"/>
    </row>
    <row r="21" spans="1:14" hidden="1" x14ac:dyDescent="0.2">
      <c r="A21" s="3" t="s">
        <v>692</v>
      </c>
      <c r="B21" s="6">
        <v>654.7744140625</v>
      </c>
      <c r="C21" s="6">
        <v>9.2780045608503592</v>
      </c>
      <c r="D21" s="6">
        <v>26.125966937150299</v>
      </c>
      <c r="E21" s="6">
        <v>33.821194484206799</v>
      </c>
      <c r="F21" s="6">
        <v>0.94035912722544401</v>
      </c>
      <c r="G21" s="6">
        <v>75.675176622981397</v>
      </c>
      <c r="H21" s="6">
        <v>62.910910682596302</v>
      </c>
      <c r="I21" t="str">
        <f t="shared" si="0"/>
        <v>boston</v>
      </c>
      <c r="J21" t="s">
        <v>980</v>
      </c>
      <c r="L21" s="7"/>
      <c r="M21" s="5"/>
      <c r="N21" s="5"/>
    </row>
    <row r="22" spans="1:14" hidden="1" x14ac:dyDescent="0.2">
      <c r="A22" s="3" t="s">
        <v>693</v>
      </c>
      <c r="B22" s="6">
        <v>678.12890625</v>
      </c>
      <c r="C22" s="6">
        <v>8.9584737415107103</v>
      </c>
      <c r="D22" s="6">
        <v>26.406453942312002</v>
      </c>
      <c r="E22" s="6">
        <v>34.102138549576999</v>
      </c>
      <c r="F22" s="6">
        <v>0.94291482525413395</v>
      </c>
      <c r="G22" s="6">
        <v>76.321179680082906</v>
      </c>
      <c r="H22" s="6">
        <v>63.895110655617799</v>
      </c>
      <c r="I22" t="str">
        <f t="shared" si="0"/>
        <v>boston</v>
      </c>
      <c r="J22" t="s">
        <v>980</v>
      </c>
      <c r="L22" s="7"/>
      <c r="M22" s="5"/>
      <c r="N22" s="5"/>
    </row>
    <row r="23" spans="1:14" hidden="1" x14ac:dyDescent="0.2">
      <c r="A23" s="3" t="s">
        <v>694</v>
      </c>
      <c r="B23" s="6">
        <v>706.0751953125</v>
      </c>
      <c r="C23" s="6">
        <v>8.6038994717995703</v>
      </c>
      <c r="D23" s="6">
        <v>26.719494712738499</v>
      </c>
      <c r="E23" s="6">
        <v>34.415083710117003</v>
      </c>
      <c r="F23" s="6">
        <v>0.94570922523433598</v>
      </c>
      <c r="G23" s="6">
        <v>77.025243388087603</v>
      </c>
      <c r="H23" s="6">
        <v>65.001198798545403</v>
      </c>
      <c r="I23" t="str">
        <f t="shared" si="0"/>
        <v>boston</v>
      </c>
      <c r="J23" t="s">
        <v>980</v>
      </c>
      <c r="L23" s="7"/>
      <c r="M23" s="5"/>
      <c r="N23" s="5"/>
    </row>
    <row r="24" spans="1:14" hidden="1" x14ac:dyDescent="0.2">
      <c r="A24" s="3" t="s">
        <v>695</v>
      </c>
      <c r="B24" s="6">
        <v>739.5244140625</v>
      </c>
      <c r="C24" s="6">
        <v>8.2147389382692904</v>
      </c>
      <c r="D24" s="6">
        <v>27.068813034232601</v>
      </c>
      <c r="E24" s="6">
        <v>34.764178362169503</v>
      </c>
      <c r="F24" s="6">
        <v>0.94860968234169796</v>
      </c>
      <c r="G24" s="6">
        <v>77.794244893766106</v>
      </c>
      <c r="H24" s="6">
        <v>66.183398185994093</v>
      </c>
      <c r="I24" t="str">
        <f t="shared" si="0"/>
        <v>boston</v>
      </c>
      <c r="J24" t="s">
        <v>980</v>
      </c>
      <c r="L24" s="7"/>
      <c r="M24" s="5"/>
      <c r="N24" s="5"/>
    </row>
    <row r="25" spans="1:14" hidden="1" x14ac:dyDescent="0.2">
      <c r="A25" s="3" t="s">
        <v>696</v>
      </c>
      <c r="B25" s="6">
        <v>770.322265625</v>
      </c>
      <c r="C25" s="6">
        <v>7.8863097577363401</v>
      </c>
      <c r="D25" s="6">
        <v>27.428505332405098</v>
      </c>
      <c r="E25" s="6">
        <v>35.123052864205697</v>
      </c>
      <c r="F25" s="6">
        <v>0.95135900533196605</v>
      </c>
      <c r="G25" s="6">
        <v>78.569737006302702</v>
      </c>
      <c r="H25" s="6">
        <v>67.337109450358597</v>
      </c>
      <c r="I25" t="str">
        <f t="shared" si="0"/>
        <v>boston</v>
      </c>
      <c r="J25" t="s">
        <v>980</v>
      </c>
      <c r="L25" s="7"/>
      <c r="M25" s="5"/>
      <c r="N25" s="5"/>
    </row>
    <row r="26" spans="1:14" hidden="1" x14ac:dyDescent="0.2">
      <c r="A26" s="3" t="s">
        <v>697</v>
      </c>
      <c r="B26" s="6">
        <v>816.1318359375</v>
      </c>
      <c r="C26" s="6">
        <v>7.4436503178700004</v>
      </c>
      <c r="D26" s="6">
        <v>27.869228079103699</v>
      </c>
      <c r="E26" s="6">
        <v>35.564087227115202</v>
      </c>
      <c r="F26" s="6">
        <v>0.95479161654263001</v>
      </c>
      <c r="G26" s="6">
        <v>79.505738643516295</v>
      </c>
      <c r="H26" s="6">
        <v>68.824327457209804</v>
      </c>
      <c r="I26" t="str">
        <f t="shared" si="0"/>
        <v>boston</v>
      </c>
      <c r="J26" t="s">
        <v>980</v>
      </c>
      <c r="L26" s="7"/>
      <c r="M26" s="5"/>
      <c r="N26" s="5"/>
    </row>
    <row r="27" spans="1:14" hidden="1" x14ac:dyDescent="0.2">
      <c r="A27" s="3" t="s">
        <v>698</v>
      </c>
      <c r="B27" s="6">
        <v>849.296875</v>
      </c>
      <c r="C27" s="6">
        <v>7.1529758071934504</v>
      </c>
      <c r="D27" s="6">
        <v>28.312735455571101</v>
      </c>
      <c r="E27" s="6">
        <v>36.007722831550801</v>
      </c>
      <c r="F27" s="6">
        <v>0.95796717809947596</v>
      </c>
      <c r="G27" s="6">
        <v>80.432124102600199</v>
      </c>
      <c r="H27" s="6">
        <v>70.248049872554503</v>
      </c>
      <c r="I27" t="str">
        <f t="shared" si="0"/>
        <v>boston</v>
      </c>
      <c r="J27" t="s">
        <v>980</v>
      </c>
      <c r="L27" s="7"/>
      <c r="M27" s="5"/>
      <c r="N27" s="5"/>
    </row>
    <row r="28" spans="1:14" hidden="1" x14ac:dyDescent="0.2">
      <c r="A28" s="3" t="s">
        <v>699</v>
      </c>
      <c r="B28" s="6">
        <v>908.77734375</v>
      </c>
      <c r="C28" s="6">
        <v>6.6848057357283803</v>
      </c>
      <c r="D28" s="6">
        <v>28.860018286098502</v>
      </c>
      <c r="E28" s="6">
        <v>36.555575884872503</v>
      </c>
      <c r="F28" s="6">
        <v>0.96176392568074698</v>
      </c>
      <c r="G28" s="6">
        <v>81.559996512329406</v>
      </c>
      <c r="H28" s="6">
        <v>72.013012771428293</v>
      </c>
      <c r="I28" t="str">
        <f t="shared" si="0"/>
        <v>boston</v>
      </c>
      <c r="J28" t="s">
        <v>980</v>
      </c>
      <c r="L28" s="7"/>
      <c r="M28" s="5"/>
      <c r="N28" s="5"/>
    </row>
    <row r="29" spans="1:14" hidden="1" x14ac:dyDescent="0.2">
      <c r="A29" s="3" t="s">
        <v>700</v>
      </c>
      <c r="B29" s="6">
        <v>960.4658203125</v>
      </c>
      <c r="C29" s="6">
        <v>6.3250558963393599</v>
      </c>
      <c r="D29" s="6">
        <v>29.414598021965499</v>
      </c>
      <c r="E29" s="6">
        <v>37.110354343789901</v>
      </c>
      <c r="F29" s="6">
        <v>0.96530795773115596</v>
      </c>
      <c r="G29" s="6">
        <v>82.688449274530299</v>
      </c>
      <c r="H29" s="6">
        <v>73.724570796015499</v>
      </c>
      <c r="I29" t="str">
        <f t="shared" si="0"/>
        <v>boston</v>
      </c>
      <c r="J29" t="s">
        <v>980</v>
      </c>
      <c r="L29" s="7"/>
      <c r="M29" s="5"/>
      <c r="N29" s="5"/>
    </row>
    <row r="30" spans="1:14" hidden="1" x14ac:dyDescent="0.2">
      <c r="A30" s="3" t="s">
        <v>701</v>
      </c>
      <c r="B30" s="6">
        <v>1015.6376953125</v>
      </c>
      <c r="C30" s="6">
        <v>5.9814636932422998</v>
      </c>
      <c r="D30" s="6">
        <v>30.104581591242798</v>
      </c>
      <c r="E30" s="6">
        <v>37.800566710369701</v>
      </c>
      <c r="F30" s="6">
        <v>0.969299341109779</v>
      </c>
      <c r="G30" s="6">
        <v>84.078590976908004</v>
      </c>
      <c r="H30" s="6">
        <v>75.729365926413493</v>
      </c>
      <c r="I30" t="str">
        <f t="shared" si="0"/>
        <v>boston</v>
      </c>
      <c r="J30" t="s">
        <v>980</v>
      </c>
      <c r="L30" s="7"/>
      <c r="M30" s="5"/>
      <c r="N30" s="5"/>
    </row>
    <row r="31" spans="1:14" hidden="1" x14ac:dyDescent="0.2">
      <c r="A31" s="3" t="s">
        <v>702</v>
      </c>
      <c r="B31" s="6">
        <v>1097.7333984375</v>
      </c>
      <c r="C31" s="6">
        <v>5.5341306082579598</v>
      </c>
      <c r="D31" s="6">
        <v>30.850312573150902</v>
      </c>
      <c r="E31" s="6">
        <v>38.546509946525703</v>
      </c>
      <c r="F31" s="6">
        <v>0.97333769483354504</v>
      </c>
      <c r="G31" s="6">
        <v>85.569095416827196</v>
      </c>
      <c r="H31" s="6">
        <v>77.844545931217695</v>
      </c>
      <c r="I31" t="str">
        <f t="shared" si="0"/>
        <v>boston</v>
      </c>
      <c r="J31" t="s">
        <v>980</v>
      </c>
      <c r="L31" s="7"/>
      <c r="M31" s="5"/>
      <c r="N31" s="5"/>
    </row>
    <row r="32" spans="1:14" hidden="1" x14ac:dyDescent="0.2">
      <c r="A32" s="3" t="s">
        <v>703</v>
      </c>
      <c r="B32" s="6">
        <v>1202.1279296875</v>
      </c>
      <c r="C32" s="6">
        <v>5.0535386874999499</v>
      </c>
      <c r="D32" s="6">
        <v>31.7818765666111</v>
      </c>
      <c r="E32" s="6">
        <v>39.478519497319901</v>
      </c>
      <c r="F32" s="6">
        <v>0.97786661015429799</v>
      </c>
      <c r="G32" s="6">
        <v>87.420220839719605</v>
      </c>
      <c r="H32" s="6">
        <v>80.325340084900702</v>
      </c>
      <c r="I32" t="str">
        <f t="shared" si="0"/>
        <v>boston</v>
      </c>
      <c r="J32" t="s">
        <v>980</v>
      </c>
      <c r="L32" s="7"/>
      <c r="M32" s="5"/>
      <c r="N32" s="5"/>
    </row>
    <row r="33" spans="1:14" hidden="1" x14ac:dyDescent="0.2">
      <c r="A33" s="3" t="s">
        <v>704</v>
      </c>
      <c r="B33" s="6">
        <v>1317.75390625</v>
      </c>
      <c r="C33" s="6">
        <v>4.6101172390282903</v>
      </c>
      <c r="D33" s="6">
        <v>32.791262819563102</v>
      </c>
      <c r="E33" s="6">
        <v>40.488302639362601</v>
      </c>
      <c r="F33" s="6">
        <v>0.98209591219333403</v>
      </c>
      <c r="G33" s="6">
        <v>89.417333691850402</v>
      </c>
      <c r="H33" s="6">
        <v>82.750643449747898</v>
      </c>
      <c r="I33" t="str">
        <f t="shared" si="0"/>
        <v>boston</v>
      </c>
      <c r="J33" t="s">
        <v>980</v>
      </c>
      <c r="L33" s="7"/>
      <c r="M33" s="5"/>
      <c r="N33" s="5"/>
    </row>
    <row r="34" spans="1:14" hidden="1" x14ac:dyDescent="0.2">
      <c r="A34" s="3" t="s">
        <v>705</v>
      </c>
      <c r="B34" s="6">
        <v>260.900390625</v>
      </c>
      <c r="C34" s="6">
        <v>23.2847485795136</v>
      </c>
      <c r="D34" s="6">
        <v>30.9530231322797</v>
      </c>
      <c r="E34" s="6">
        <v>39.795919438577698</v>
      </c>
      <c r="F34" s="6">
        <v>0.98188150829463505</v>
      </c>
      <c r="G34" s="6">
        <v>88.048700385331202</v>
      </c>
      <c r="H34" s="6">
        <v>82.625090485868697</v>
      </c>
      <c r="I34" t="str">
        <f t="shared" si="0"/>
        <v>bottle</v>
      </c>
      <c r="J34" t="s">
        <v>980</v>
      </c>
      <c r="L34" s="7"/>
      <c r="M34" s="5"/>
      <c r="N34" s="5"/>
    </row>
    <row r="35" spans="1:14" hidden="1" x14ac:dyDescent="0.2">
      <c r="A35" s="3" t="s">
        <v>706</v>
      </c>
      <c r="B35" s="6">
        <v>269.6865234375</v>
      </c>
      <c r="C35" s="6">
        <v>22.5261534116216</v>
      </c>
      <c r="D35" s="6">
        <v>31.147332845904799</v>
      </c>
      <c r="E35" s="6">
        <v>39.986784216869097</v>
      </c>
      <c r="F35" s="6">
        <v>0.98237293958282401</v>
      </c>
      <c r="G35" s="6">
        <v>88.426273281305399</v>
      </c>
      <c r="H35" s="6">
        <v>82.913286414341698</v>
      </c>
      <c r="I35" t="str">
        <f t="shared" si="0"/>
        <v>bottle</v>
      </c>
      <c r="J35" t="s">
        <v>980</v>
      </c>
      <c r="L35" s="7"/>
      <c r="M35" s="5"/>
      <c r="N35" s="5"/>
    </row>
    <row r="36" spans="1:14" hidden="1" x14ac:dyDescent="0.2">
      <c r="A36" s="3" t="s">
        <v>707</v>
      </c>
      <c r="B36" s="6">
        <v>277.7548828125</v>
      </c>
      <c r="C36" s="6">
        <v>21.8718027149894</v>
      </c>
      <c r="D36" s="6">
        <v>31.3286924744842</v>
      </c>
      <c r="E36" s="6">
        <v>40.168685611788597</v>
      </c>
      <c r="F36" s="6">
        <v>0.98284314927762895</v>
      </c>
      <c r="G36" s="6">
        <v>88.785896429079003</v>
      </c>
      <c r="H36" s="6">
        <v>83.190430011083393</v>
      </c>
      <c r="I36" t="str">
        <f t="shared" si="0"/>
        <v>bottle</v>
      </c>
      <c r="J36" t="s">
        <v>980</v>
      </c>
      <c r="L36" s="7"/>
      <c r="M36" s="5"/>
      <c r="N36" s="5"/>
    </row>
    <row r="37" spans="1:14" hidden="1" x14ac:dyDescent="0.2">
      <c r="A37" s="3" t="s">
        <v>708</v>
      </c>
      <c r="B37" s="6">
        <v>289.1494140625</v>
      </c>
      <c r="C37" s="6">
        <v>21.0098990506233</v>
      </c>
      <c r="D37" s="6">
        <v>31.5400264206861</v>
      </c>
      <c r="E37" s="6">
        <v>40.379989784540498</v>
      </c>
      <c r="F37" s="6">
        <v>0.98348011635620802</v>
      </c>
      <c r="G37" s="6">
        <v>89.203410135025095</v>
      </c>
      <c r="H37" s="6">
        <v>83.568045989421506</v>
      </c>
      <c r="I37" t="str">
        <f t="shared" si="0"/>
        <v>bottle</v>
      </c>
      <c r="J37" t="s">
        <v>980</v>
      </c>
      <c r="L37" s="7"/>
      <c r="M37" s="5"/>
      <c r="N37" s="5"/>
    </row>
    <row r="38" spans="1:14" hidden="1" x14ac:dyDescent="0.2">
      <c r="A38" s="3" t="s">
        <v>709</v>
      </c>
      <c r="B38" s="6">
        <v>297.7080078125</v>
      </c>
      <c r="C38" s="6">
        <v>20.405900548789099</v>
      </c>
      <c r="D38" s="6">
        <v>31.7634784154492</v>
      </c>
      <c r="E38" s="6">
        <v>40.606415789460797</v>
      </c>
      <c r="F38" s="6">
        <v>0.98410957108515495</v>
      </c>
      <c r="G38" s="6">
        <v>89.650548888305906</v>
      </c>
      <c r="H38" s="6">
        <v>83.943693364514502</v>
      </c>
      <c r="I38" t="str">
        <f t="shared" si="0"/>
        <v>bottle</v>
      </c>
      <c r="J38" t="s">
        <v>980</v>
      </c>
    </row>
    <row r="39" spans="1:14" hidden="1" x14ac:dyDescent="0.2">
      <c r="A39" s="3" t="s">
        <v>710</v>
      </c>
      <c r="B39" s="6">
        <v>309.1982421875</v>
      </c>
      <c r="C39" s="6">
        <v>19.647589058142401</v>
      </c>
      <c r="D39" s="6">
        <v>32.011111512396603</v>
      </c>
      <c r="E39" s="6">
        <v>40.854051718871503</v>
      </c>
      <c r="F39" s="6">
        <v>0.98485587579114997</v>
      </c>
      <c r="G39" s="6">
        <v>90.139308008541803</v>
      </c>
      <c r="H39" s="6">
        <v>84.392298395236807</v>
      </c>
      <c r="I39" t="str">
        <f t="shared" si="0"/>
        <v>bottle</v>
      </c>
      <c r="J39" t="s">
        <v>980</v>
      </c>
    </row>
    <row r="40" spans="1:14" hidden="1" x14ac:dyDescent="0.2">
      <c r="A40" s="3" t="s">
        <v>711</v>
      </c>
      <c r="B40" s="6">
        <v>322.1494140625</v>
      </c>
      <c r="C40" s="6">
        <v>18.8577092951701</v>
      </c>
      <c r="D40" s="6">
        <v>32.266921969637899</v>
      </c>
      <c r="E40" s="6">
        <v>41.109592462598101</v>
      </c>
      <c r="F40" s="6">
        <v>0.98553558155101295</v>
      </c>
      <c r="G40" s="6">
        <v>90.643416697327297</v>
      </c>
      <c r="H40" s="6">
        <v>84.803936257164395</v>
      </c>
      <c r="I40" t="str">
        <f t="shared" si="0"/>
        <v>bottle</v>
      </c>
      <c r="J40" t="s">
        <v>980</v>
      </c>
    </row>
    <row r="41" spans="1:14" hidden="1" x14ac:dyDescent="0.2">
      <c r="A41" s="3" t="s">
        <v>712</v>
      </c>
      <c r="B41" s="6">
        <v>333.8583984375</v>
      </c>
      <c r="C41" s="6">
        <v>18.196337214914401</v>
      </c>
      <c r="D41" s="6">
        <v>32.496571664805103</v>
      </c>
      <c r="E41" s="6">
        <v>41.335913746257297</v>
      </c>
      <c r="F41" s="6">
        <v>0.98588430458323595</v>
      </c>
      <c r="G41" s="6">
        <v>91.089697530313501</v>
      </c>
      <c r="H41" s="6">
        <v>85.016268519840693</v>
      </c>
      <c r="I41" t="str">
        <f t="shared" si="0"/>
        <v>bottle</v>
      </c>
      <c r="J41" t="s">
        <v>980</v>
      </c>
    </row>
    <row r="42" spans="1:14" hidden="1" x14ac:dyDescent="0.2">
      <c r="A42" s="3" t="s">
        <v>713</v>
      </c>
      <c r="B42" s="6">
        <v>354.466796875</v>
      </c>
      <c r="C42" s="6">
        <v>17.1384176277089</v>
      </c>
      <c r="D42" s="6">
        <v>32.8063876726372</v>
      </c>
      <c r="E42" s="6">
        <v>41.646477501393001</v>
      </c>
      <c r="F42" s="6">
        <v>0.98658370634829096</v>
      </c>
      <c r="G42" s="6">
        <v>91.701850197592407</v>
      </c>
      <c r="H42" s="6">
        <v>85.444471376812999</v>
      </c>
      <c r="I42" t="str">
        <f t="shared" si="0"/>
        <v>bottle</v>
      </c>
      <c r="J42" t="s">
        <v>980</v>
      </c>
    </row>
    <row r="43" spans="1:14" hidden="1" x14ac:dyDescent="0.2">
      <c r="A43" s="3" t="s">
        <v>714</v>
      </c>
      <c r="B43" s="6">
        <v>368.0615234375</v>
      </c>
      <c r="C43" s="6">
        <v>16.505392748643501</v>
      </c>
      <c r="D43" s="6">
        <v>33.098853103318902</v>
      </c>
      <c r="E43" s="6">
        <v>41.939125747141198</v>
      </c>
      <c r="F43" s="6">
        <v>0.987206896596173</v>
      </c>
      <c r="G43" s="6">
        <v>92.278467730487705</v>
      </c>
      <c r="H43" s="6">
        <v>85.828669564034698</v>
      </c>
      <c r="I43" t="str">
        <f t="shared" si="0"/>
        <v>bottle</v>
      </c>
      <c r="J43" t="s">
        <v>980</v>
      </c>
    </row>
    <row r="44" spans="1:14" hidden="1" x14ac:dyDescent="0.2">
      <c r="A44" s="3" t="s">
        <v>715</v>
      </c>
      <c r="B44" s="6">
        <v>393.2353515625</v>
      </c>
      <c r="C44" s="6">
        <v>15.4487636369958</v>
      </c>
      <c r="D44" s="6">
        <v>33.503863429945199</v>
      </c>
      <c r="E44" s="6">
        <v>42.346507702768797</v>
      </c>
      <c r="F44" s="6">
        <v>0.98832871388238097</v>
      </c>
      <c r="G44" s="6">
        <v>93.080853930179103</v>
      </c>
      <c r="H44" s="6">
        <v>86.526633580678705</v>
      </c>
      <c r="I44" t="str">
        <f t="shared" si="0"/>
        <v>bottle</v>
      </c>
      <c r="J44" t="s">
        <v>980</v>
      </c>
    </row>
    <row r="45" spans="1:14" hidden="1" x14ac:dyDescent="0.2">
      <c r="A45" s="3" t="s">
        <v>716</v>
      </c>
      <c r="B45" s="6">
        <v>418.673828125</v>
      </c>
      <c r="C45" s="6">
        <v>14.5101021174561</v>
      </c>
      <c r="D45" s="6">
        <v>33.893019286458198</v>
      </c>
      <c r="E45" s="6">
        <v>42.735787104847503</v>
      </c>
      <c r="F45" s="6">
        <v>0.989092457510375</v>
      </c>
      <c r="G45" s="6">
        <v>93.847322868369304</v>
      </c>
      <c r="H45" s="6">
        <v>87.006535293911796</v>
      </c>
      <c r="I45" t="str">
        <f t="shared" si="0"/>
        <v>bottle</v>
      </c>
      <c r="J45" t="s">
        <v>980</v>
      </c>
    </row>
    <row r="46" spans="1:14" hidden="1" x14ac:dyDescent="0.2">
      <c r="A46" s="3" t="s">
        <v>717</v>
      </c>
      <c r="B46" s="6">
        <v>438.671875</v>
      </c>
      <c r="C46" s="6">
        <v>13.848619768477301</v>
      </c>
      <c r="D46" s="6">
        <v>34.286407835877597</v>
      </c>
      <c r="E46" s="6">
        <v>43.129114363103497</v>
      </c>
      <c r="F46" s="6">
        <v>0.98967324661141298</v>
      </c>
      <c r="G46" s="6">
        <v>94.621554201335499</v>
      </c>
      <c r="H46" s="6">
        <v>87.374059301568906</v>
      </c>
      <c r="I46" t="str">
        <f t="shared" si="0"/>
        <v>bottle</v>
      </c>
      <c r="J46" t="s">
        <v>980</v>
      </c>
    </row>
    <row r="47" spans="1:14" hidden="1" x14ac:dyDescent="0.2">
      <c r="A47" s="3" t="s">
        <v>718</v>
      </c>
      <c r="B47" s="6">
        <v>484.2880859375</v>
      </c>
      <c r="C47" s="6">
        <v>12.5441863560195</v>
      </c>
      <c r="D47" s="6">
        <v>34.790821097379002</v>
      </c>
      <c r="E47" s="6">
        <v>43.633326130642203</v>
      </c>
      <c r="F47" s="6">
        <v>0.99046760629515895</v>
      </c>
      <c r="G47" s="6">
        <v>95.613812882595596</v>
      </c>
      <c r="H47" s="6">
        <v>87.880371142660593</v>
      </c>
      <c r="I47" t="str">
        <f t="shared" si="0"/>
        <v>bottle</v>
      </c>
      <c r="J47" t="s">
        <v>980</v>
      </c>
    </row>
    <row r="48" spans="1:14" hidden="1" x14ac:dyDescent="0.2">
      <c r="A48" s="3" t="s">
        <v>719</v>
      </c>
      <c r="B48" s="6">
        <v>537.9755859375</v>
      </c>
      <c r="C48" s="6">
        <v>11.292333999531699</v>
      </c>
      <c r="D48" s="6">
        <v>35.379285966041103</v>
      </c>
      <c r="E48" s="6">
        <v>44.222102758006599</v>
      </c>
      <c r="F48" s="6">
        <v>0.99133380592158604</v>
      </c>
      <c r="G48" s="6">
        <v>96.772232738683599</v>
      </c>
      <c r="H48" s="6">
        <v>88.437303847819507</v>
      </c>
      <c r="I48" t="str">
        <f t="shared" si="0"/>
        <v>bottle</v>
      </c>
      <c r="J48" t="s">
        <v>980</v>
      </c>
    </row>
    <row r="49" spans="1:10" hidden="1" x14ac:dyDescent="0.2">
      <c r="A49" s="3" t="s">
        <v>720</v>
      </c>
      <c r="B49" s="6">
        <v>602.6123046875</v>
      </c>
      <c r="C49" s="6">
        <v>10.0811084552121</v>
      </c>
      <c r="D49" s="6">
        <v>36.029695863334901</v>
      </c>
      <c r="E49" s="6">
        <v>44.872576342288703</v>
      </c>
      <c r="F49" s="6">
        <v>0.99218924974568601</v>
      </c>
      <c r="G49" s="6">
        <v>98.051809409446307</v>
      </c>
      <c r="H49" s="6">
        <v>88.992311885565897</v>
      </c>
      <c r="I49" t="str">
        <f t="shared" si="0"/>
        <v>bottle</v>
      </c>
      <c r="J49" t="s">
        <v>980</v>
      </c>
    </row>
    <row r="50" spans="1:10" hidden="1" x14ac:dyDescent="0.2">
      <c r="A50" s="3" t="s">
        <v>721</v>
      </c>
      <c r="B50" s="6">
        <v>469.251953125</v>
      </c>
      <c r="C50" s="6">
        <v>12.946136845128301</v>
      </c>
      <c r="D50" s="6">
        <v>30.406056242249701</v>
      </c>
      <c r="E50" s="6">
        <v>35.721416729456301</v>
      </c>
      <c r="F50" s="6">
        <v>0.97108050685209102</v>
      </c>
      <c r="G50" s="6">
        <v>79.835821056305804</v>
      </c>
      <c r="H50" s="6">
        <v>76.651305520208993</v>
      </c>
      <c r="I50" t="str">
        <f t="shared" si="0"/>
        <v>building</v>
      </c>
      <c r="J50" t="s">
        <v>980</v>
      </c>
    </row>
    <row r="51" spans="1:10" hidden="1" x14ac:dyDescent="0.2">
      <c r="A51" s="3" t="s">
        <v>722</v>
      </c>
      <c r="B51" s="6">
        <v>485.1708984375</v>
      </c>
      <c r="C51" s="6">
        <v>12.521361070016001</v>
      </c>
      <c r="D51" s="6">
        <v>30.631584368706299</v>
      </c>
      <c r="E51" s="6">
        <v>35.945488190717903</v>
      </c>
      <c r="F51" s="6">
        <v>0.97229700889900605</v>
      </c>
      <c r="G51" s="6">
        <v>80.302952870550399</v>
      </c>
      <c r="H51" s="6">
        <v>77.290900314179197</v>
      </c>
      <c r="I51" t="str">
        <f t="shared" si="0"/>
        <v>building</v>
      </c>
      <c r="J51" t="s">
        <v>980</v>
      </c>
    </row>
    <row r="52" spans="1:10" hidden="1" x14ac:dyDescent="0.2">
      <c r="A52" s="3" t="s">
        <v>723</v>
      </c>
      <c r="B52" s="6">
        <v>499.578125</v>
      </c>
      <c r="C52" s="6">
        <v>12.1602602195603</v>
      </c>
      <c r="D52" s="6">
        <v>30.8480144619679</v>
      </c>
      <c r="E52" s="6">
        <v>36.162041766156001</v>
      </c>
      <c r="F52" s="6">
        <v>0.97338661505206003</v>
      </c>
      <c r="G52" s="6">
        <v>80.751431780378596</v>
      </c>
      <c r="H52" s="6">
        <v>77.870719993440801</v>
      </c>
      <c r="I52" t="str">
        <f t="shared" si="0"/>
        <v>building</v>
      </c>
      <c r="J52" t="s">
        <v>980</v>
      </c>
    </row>
    <row r="53" spans="1:10" hidden="1" x14ac:dyDescent="0.2">
      <c r="A53" s="3" t="s">
        <v>724</v>
      </c>
      <c r="B53" s="6">
        <v>519.5966796875</v>
      </c>
      <c r="C53" s="6">
        <v>11.6917606241319</v>
      </c>
      <c r="D53" s="6">
        <v>31.093820095814301</v>
      </c>
      <c r="E53" s="6">
        <v>36.408408829018597</v>
      </c>
      <c r="F53" s="6">
        <v>0.97462462607397204</v>
      </c>
      <c r="G53" s="6">
        <v>81.258514796417401</v>
      </c>
      <c r="H53" s="6">
        <v>78.537575260051398</v>
      </c>
      <c r="I53" t="str">
        <f t="shared" si="0"/>
        <v>building</v>
      </c>
      <c r="J53" t="s">
        <v>980</v>
      </c>
    </row>
    <row r="54" spans="1:10" hidden="1" x14ac:dyDescent="0.2">
      <c r="A54" s="3" t="s">
        <v>725</v>
      </c>
      <c r="B54" s="6">
        <v>535.5205078125</v>
      </c>
      <c r="C54" s="6">
        <v>11.344103374892599</v>
      </c>
      <c r="D54" s="6">
        <v>31.346670737677702</v>
      </c>
      <c r="E54" s="6">
        <v>36.662246728475097</v>
      </c>
      <c r="F54" s="6">
        <v>0.97589814097209604</v>
      </c>
      <c r="G54" s="6">
        <v>81.777912635482807</v>
      </c>
      <c r="H54" s="6">
        <v>79.232622083970199</v>
      </c>
      <c r="I54" t="str">
        <f t="shared" si="0"/>
        <v>building</v>
      </c>
      <c r="J54" t="s">
        <v>980</v>
      </c>
    </row>
    <row r="55" spans="1:10" hidden="1" x14ac:dyDescent="0.2">
      <c r="A55" s="3" t="s">
        <v>726</v>
      </c>
      <c r="B55" s="6">
        <v>556.4111328125</v>
      </c>
      <c r="C55" s="6">
        <v>10.918185567734101</v>
      </c>
      <c r="D55" s="6">
        <v>31.641786764682902</v>
      </c>
      <c r="E55" s="6">
        <v>36.957461152453597</v>
      </c>
      <c r="F55" s="6">
        <v>0.97727474241451495</v>
      </c>
      <c r="G55" s="6">
        <v>82.378600451825506</v>
      </c>
      <c r="H55" s="6">
        <v>79.994418331102693</v>
      </c>
      <c r="I55" t="str">
        <f t="shared" si="0"/>
        <v>building</v>
      </c>
      <c r="J55" t="s">
        <v>980</v>
      </c>
    </row>
    <row r="56" spans="1:10" hidden="1" x14ac:dyDescent="0.2">
      <c r="A56" s="3" t="s">
        <v>727</v>
      </c>
      <c r="B56" s="6">
        <v>579.4765625</v>
      </c>
      <c r="C56" s="6">
        <v>10.483599153330699</v>
      </c>
      <c r="D56" s="6">
        <v>31.956169204191401</v>
      </c>
      <c r="E56" s="6">
        <v>37.270527051997597</v>
      </c>
      <c r="F56" s="6">
        <v>0.97854492940716598</v>
      </c>
      <c r="G56" s="6">
        <v>83.012233886374403</v>
      </c>
      <c r="H56" s="6">
        <v>80.707127937182094</v>
      </c>
      <c r="I56" t="str">
        <f t="shared" si="0"/>
        <v>building</v>
      </c>
      <c r="J56" t="s">
        <v>980</v>
      </c>
    </row>
    <row r="57" spans="1:10" hidden="1" x14ac:dyDescent="0.2">
      <c r="A57" s="3" t="s">
        <v>728</v>
      </c>
      <c r="B57" s="6">
        <v>601.171875</v>
      </c>
      <c r="C57" s="6">
        <v>10.105263157894701</v>
      </c>
      <c r="D57" s="6">
        <v>32.277396596889801</v>
      </c>
      <c r="E57" s="6">
        <v>37.5895549172389</v>
      </c>
      <c r="F57" s="6">
        <v>0.97976471985340996</v>
      </c>
      <c r="G57" s="6">
        <v>83.654925330123007</v>
      </c>
      <c r="H57" s="6">
        <v>81.400538707094299</v>
      </c>
      <c r="I57" t="str">
        <f t="shared" si="0"/>
        <v>building</v>
      </c>
      <c r="J57" t="s">
        <v>980</v>
      </c>
    </row>
    <row r="58" spans="1:10" hidden="1" x14ac:dyDescent="0.2">
      <c r="A58" s="3" t="s">
        <v>729</v>
      </c>
      <c r="B58" s="6">
        <v>633.30859375</v>
      </c>
      <c r="C58" s="6">
        <v>9.5924799694066998</v>
      </c>
      <c r="D58" s="6">
        <v>32.6702143508723</v>
      </c>
      <c r="E58" s="6">
        <v>37.982804158054897</v>
      </c>
      <c r="F58" s="6">
        <v>0.98113831151245601</v>
      </c>
      <c r="G58" s="6">
        <v>84.443686309447202</v>
      </c>
      <c r="H58" s="6">
        <v>82.192058113542998</v>
      </c>
      <c r="I58" t="str">
        <f t="shared" si="0"/>
        <v>building</v>
      </c>
      <c r="J58" t="s">
        <v>980</v>
      </c>
    </row>
    <row r="59" spans="1:10" hidden="1" x14ac:dyDescent="0.2">
      <c r="A59" s="3" t="s">
        <v>730</v>
      </c>
      <c r="B59" s="6">
        <v>657.5751953125</v>
      </c>
      <c r="C59" s="6">
        <v>9.2384871620848994</v>
      </c>
      <c r="D59" s="6">
        <v>33.053447979601003</v>
      </c>
      <c r="E59" s="6">
        <v>38.366238835889597</v>
      </c>
      <c r="F59" s="6">
        <v>0.98238704284464196</v>
      </c>
      <c r="G59" s="6">
        <v>85.209772142028896</v>
      </c>
      <c r="H59" s="6">
        <v>82.9215790858525</v>
      </c>
      <c r="I59" t="str">
        <f t="shared" si="0"/>
        <v>building</v>
      </c>
      <c r="J59" t="s">
        <v>980</v>
      </c>
    </row>
    <row r="60" spans="1:10" hidden="1" x14ac:dyDescent="0.2">
      <c r="A60" s="3" t="s">
        <v>133</v>
      </c>
      <c r="B60" s="6">
        <v>699.2529296875</v>
      </c>
      <c r="C60" s="6">
        <v>8.6878434713386898</v>
      </c>
      <c r="D60" s="6">
        <v>33.538552621459203</v>
      </c>
      <c r="E60" s="6">
        <v>38.854516417543699</v>
      </c>
      <c r="F60" s="6">
        <v>0.98395208678658996</v>
      </c>
      <c r="G60" s="6">
        <v>86.181958159124605</v>
      </c>
      <c r="H60" s="6">
        <v>83.849476919975999</v>
      </c>
      <c r="I60" t="str">
        <f t="shared" si="0"/>
        <v>building</v>
      </c>
      <c r="J60" t="s">
        <v>980</v>
      </c>
    </row>
    <row r="61" spans="1:10" hidden="1" x14ac:dyDescent="0.2">
      <c r="A61" s="3" t="s">
        <v>134</v>
      </c>
      <c r="B61" s="6">
        <v>737.490234375</v>
      </c>
      <c r="C61" s="6">
        <v>8.2373972112978198</v>
      </c>
      <c r="D61" s="6">
        <v>34.021337749919901</v>
      </c>
      <c r="E61" s="6">
        <v>39.337443328983397</v>
      </c>
      <c r="F61" s="6">
        <v>0.98529329824850798</v>
      </c>
      <c r="G61" s="6">
        <v>87.140609441924994</v>
      </c>
      <c r="H61" s="6">
        <v>84.656870014929197</v>
      </c>
      <c r="I61" t="str">
        <f t="shared" si="0"/>
        <v>building</v>
      </c>
      <c r="J61" t="s">
        <v>980</v>
      </c>
    </row>
    <row r="62" spans="1:10" hidden="1" x14ac:dyDescent="0.2">
      <c r="A62" s="3" t="s">
        <v>135</v>
      </c>
      <c r="B62" s="6">
        <v>773.029296875</v>
      </c>
      <c r="C62" s="6">
        <v>7.8586930981250198</v>
      </c>
      <c r="D62" s="6">
        <v>34.574065596066703</v>
      </c>
      <c r="E62" s="6">
        <v>39.890260417389499</v>
      </c>
      <c r="F62" s="6">
        <v>0.98654166349483496</v>
      </c>
      <c r="G62" s="6">
        <v>88.235358646971704</v>
      </c>
      <c r="H62" s="6">
        <v>85.418642171441903</v>
      </c>
      <c r="I62" t="str">
        <f t="shared" si="0"/>
        <v>building</v>
      </c>
      <c r="J62" t="s">
        <v>980</v>
      </c>
    </row>
    <row r="63" spans="1:10" hidden="1" x14ac:dyDescent="0.2">
      <c r="A63" s="3" t="s">
        <v>136</v>
      </c>
      <c r="B63" s="6">
        <v>839.802734375</v>
      </c>
      <c r="C63" s="6">
        <v>7.2338416527318801</v>
      </c>
      <c r="D63" s="6">
        <v>35.193758251070903</v>
      </c>
      <c r="E63" s="6">
        <v>40.508929018909299</v>
      </c>
      <c r="F63" s="6">
        <v>0.98788719008314396</v>
      </c>
      <c r="G63" s="6">
        <v>89.458065343006197</v>
      </c>
      <c r="H63" s="6">
        <v>86.250949003694998</v>
      </c>
      <c r="I63" t="str">
        <f t="shared" si="0"/>
        <v>building</v>
      </c>
      <c r="J63" t="s">
        <v>980</v>
      </c>
    </row>
    <row r="64" spans="1:10" hidden="1" x14ac:dyDescent="0.2">
      <c r="A64" s="3" t="s">
        <v>137</v>
      </c>
      <c r="B64" s="6">
        <v>921.0361328125</v>
      </c>
      <c r="C64" s="6">
        <v>6.5958324365073704</v>
      </c>
      <c r="D64" s="6">
        <v>35.945618260939</v>
      </c>
      <c r="E64" s="6">
        <v>41.261328875960302</v>
      </c>
      <c r="F64" s="6">
        <v>0.98929740293025303</v>
      </c>
      <c r="G64" s="6">
        <v>90.942642187351495</v>
      </c>
      <c r="H64" s="6">
        <v>87.135969368812098</v>
      </c>
      <c r="I64" t="str">
        <f t="shared" si="0"/>
        <v>building</v>
      </c>
      <c r="J64" t="s">
        <v>980</v>
      </c>
    </row>
    <row r="65" spans="1:10" hidden="1" x14ac:dyDescent="0.2">
      <c r="A65" s="3" t="s">
        <v>138</v>
      </c>
      <c r="B65" s="6">
        <v>1014.048828125</v>
      </c>
      <c r="C65" s="6">
        <v>5.9908357778321397</v>
      </c>
      <c r="D65" s="6">
        <v>36.769023406641601</v>
      </c>
      <c r="E65" s="6">
        <v>42.085080365133997</v>
      </c>
      <c r="F65" s="6">
        <v>0.99065175008092998</v>
      </c>
      <c r="G65" s="6">
        <v>92.565978727137605</v>
      </c>
      <c r="H65" s="6">
        <v>87.998345127555893</v>
      </c>
      <c r="I65" t="str">
        <f t="shared" si="0"/>
        <v>building</v>
      </c>
      <c r="J65" t="s">
        <v>980</v>
      </c>
    </row>
    <row r="66" spans="1:10" hidden="1" x14ac:dyDescent="0.2">
      <c r="A66" s="3" t="s">
        <v>731</v>
      </c>
      <c r="B66" s="6">
        <v>238.888671875</v>
      </c>
      <c r="C66" s="6">
        <v>25.4302556597526</v>
      </c>
      <c r="D66" s="6">
        <v>32.270729938680397</v>
      </c>
      <c r="E66" s="6">
        <v>38.829962628177597</v>
      </c>
      <c r="F66" s="6">
        <v>0.95205039035032801</v>
      </c>
      <c r="G66" s="6">
        <v>86.133146939076696</v>
      </c>
      <c r="H66" s="6">
        <v>67.632429328918306</v>
      </c>
      <c r="I66" t="str">
        <f t="shared" si="0"/>
        <v>camera</v>
      </c>
      <c r="J66" t="s">
        <v>980</v>
      </c>
    </row>
    <row r="67" spans="1:10" hidden="1" x14ac:dyDescent="0.2">
      <c r="A67" s="3" t="s">
        <v>732</v>
      </c>
      <c r="B67" s="6">
        <v>250.7109375</v>
      </c>
      <c r="C67" s="6">
        <v>24.231092829765402</v>
      </c>
      <c r="D67" s="6">
        <v>32.3816786004897</v>
      </c>
      <c r="E67" s="6">
        <v>38.937742155737197</v>
      </c>
      <c r="F67" s="6">
        <v>0.95291573591706802</v>
      </c>
      <c r="G67" s="6">
        <v>86.347351011868795</v>
      </c>
      <c r="H67" s="6">
        <v>68.005041434687897</v>
      </c>
      <c r="I67" t="str">
        <f t="shared" ref="I67:I130" si="1">MID(A67,1,(FIND(".ppm",A67))-1)</f>
        <v>camera</v>
      </c>
      <c r="J67" t="s">
        <v>980</v>
      </c>
    </row>
    <row r="68" spans="1:10" hidden="1" x14ac:dyDescent="0.2">
      <c r="A68" s="3" t="s">
        <v>733</v>
      </c>
      <c r="B68" s="6">
        <v>259.302734375</v>
      </c>
      <c r="C68" s="6">
        <v>23.4282141861814</v>
      </c>
      <c r="D68" s="6">
        <v>32.469174513796702</v>
      </c>
      <c r="E68" s="6">
        <v>39.025523587545401</v>
      </c>
      <c r="F68" s="6">
        <v>0.95357698362070598</v>
      </c>
      <c r="G68" s="6">
        <v>86.521710026497601</v>
      </c>
      <c r="H68" s="6">
        <v>68.292026436900599</v>
      </c>
      <c r="I68" t="str">
        <f t="shared" si="1"/>
        <v>camera</v>
      </c>
      <c r="J68" t="s">
        <v>980</v>
      </c>
    </row>
    <row r="69" spans="1:10" hidden="1" x14ac:dyDescent="0.2">
      <c r="A69" s="3" t="s">
        <v>734</v>
      </c>
      <c r="B69" s="6">
        <v>273.8828125</v>
      </c>
      <c r="C69" s="6">
        <v>22.181019482557002</v>
      </c>
      <c r="D69" s="6">
        <v>32.58720350742</v>
      </c>
      <c r="E69" s="6">
        <v>39.143652459065997</v>
      </c>
      <c r="F69" s="6">
        <v>0.95456906492463001</v>
      </c>
      <c r="G69" s="6">
        <v>86.756213808707699</v>
      </c>
      <c r="H69" s="6">
        <v>68.726294902799495</v>
      </c>
      <c r="I69" t="str">
        <f t="shared" si="1"/>
        <v>camera</v>
      </c>
      <c r="J69" t="s">
        <v>980</v>
      </c>
    </row>
    <row r="70" spans="1:10" hidden="1" x14ac:dyDescent="0.2">
      <c r="A70" s="3" t="s">
        <v>735</v>
      </c>
      <c r="B70" s="6">
        <v>284.4521484375</v>
      </c>
      <c r="C70" s="6">
        <v>21.356843438764901</v>
      </c>
      <c r="D70" s="6">
        <v>32.704689260166703</v>
      </c>
      <c r="E70" s="6">
        <v>39.263039938501997</v>
      </c>
      <c r="F70" s="6">
        <v>0.95553088887321802</v>
      </c>
      <c r="G70" s="6">
        <v>86.993069283534396</v>
      </c>
      <c r="H70" s="6">
        <v>69.151598785220997</v>
      </c>
      <c r="I70" t="str">
        <f t="shared" si="1"/>
        <v>camera</v>
      </c>
      <c r="J70" t="s">
        <v>980</v>
      </c>
    </row>
    <row r="71" spans="1:10" hidden="1" x14ac:dyDescent="0.2">
      <c r="A71" s="3" t="s">
        <v>736</v>
      </c>
      <c r="B71" s="6">
        <v>296.1708984375</v>
      </c>
      <c r="C71" s="6">
        <v>20.511805960847902</v>
      </c>
      <c r="D71" s="6">
        <v>32.8215887259569</v>
      </c>
      <c r="E71" s="6">
        <v>39.379958083888603</v>
      </c>
      <c r="F71" s="6">
        <v>0.95642155965799602</v>
      </c>
      <c r="G71" s="6">
        <v>87.224891991931898</v>
      </c>
      <c r="H71" s="6">
        <v>69.549236993969998</v>
      </c>
      <c r="I71" t="str">
        <f t="shared" si="1"/>
        <v>camera</v>
      </c>
      <c r="J71" t="s">
        <v>980</v>
      </c>
    </row>
    <row r="72" spans="1:10" hidden="1" x14ac:dyDescent="0.2">
      <c r="A72" s="3" t="s">
        <v>737</v>
      </c>
      <c r="B72" s="6">
        <v>314.7802734375</v>
      </c>
      <c r="C72" s="6">
        <v>19.299176322769799</v>
      </c>
      <c r="D72" s="6">
        <v>32.966758886981999</v>
      </c>
      <c r="E72" s="6">
        <v>39.5250501547482</v>
      </c>
      <c r="F72" s="6">
        <v>0.95753951356336198</v>
      </c>
      <c r="G72" s="6">
        <v>87.512406019690104</v>
      </c>
      <c r="H72" s="6">
        <v>70.053569695928701</v>
      </c>
      <c r="I72" t="str">
        <f t="shared" si="1"/>
        <v>camera</v>
      </c>
      <c r="J72" t="s">
        <v>980</v>
      </c>
    </row>
    <row r="73" spans="1:10" hidden="1" x14ac:dyDescent="0.2">
      <c r="A73" s="3" t="s">
        <v>738</v>
      </c>
      <c r="B73" s="6">
        <v>328.8837890625</v>
      </c>
      <c r="C73" s="6">
        <v>18.471570208179301</v>
      </c>
      <c r="D73" s="6">
        <v>33.075578751531197</v>
      </c>
      <c r="E73" s="6">
        <v>39.630196421822198</v>
      </c>
      <c r="F73" s="6">
        <v>0.95822282724545005</v>
      </c>
      <c r="G73" s="6">
        <v>87.720652940443301</v>
      </c>
      <c r="H73" s="6">
        <v>70.364718931437906</v>
      </c>
      <c r="I73" t="str">
        <f t="shared" si="1"/>
        <v>camera</v>
      </c>
      <c r="J73" t="s">
        <v>980</v>
      </c>
    </row>
    <row r="74" spans="1:10" hidden="1" x14ac:dyDescent="0.2">
      <c r="A74" s="3" t="s">
        <v>739</v>
      </c>
      <c r="B74" s="6">
        <v>354.3603515625</v>
      </c>
      <c r="C74" s="6">
        <v>17.143565788929799</v>
      </c>
      <c r="D74" s="6">
        <v>33.253927941373597</v>
      </c>
      <c r="E74" s="6">
        <v>39.809469287028797</v>
      </c>
      <c r="F74" s="6">
        <v>0.95961830446137197</v>
      </c>
      <c r="G74" s="6">
        <v>88.075513262680602</v>
      </c>
      <c r="H74" s="6">
        <v>71.007050413292106</v>
      </c>
      <c r="I74" t="str">
        <f t="shared" si="1"/>
        <v>camera</v>
      </c>
      <c r="J74" t="s">
        <v>980</v>
      </c>
    </row>
    <row r="75" spans="1:10" hidden="1" x14ac:dyDescent="0.2">
      <c r="A75" s="3" t="s">
        <v>740</v>
      </c>
      <c r="B75" s="6">
        <v>373.8447265625</v>
      </c>
      <c r="C75" s="6">
        <v>16.250062040086998</v>
      </c>
      <c r="D75" s="6">
        <v>33.414668640544598</v>
      </c>
      <c r="E75" s="6">
        <v>39.9701537787098</v>
      </c>
      <c r="F75" s="6">
        <v>0.96084152823758995</v>
      </c>
      <c r="G75" s="6">
        <v>88.393384257978099</v>
      </c>
      <c r="H75" s="6">
        <v>71.577801839372796</v>
      </c>
      <c r="I75" t="str">
        <f t="shared" si="1"/>
        <v>camera</v>
      </c>
      <c r="J75" t="s">
        <v>980</v>
      </c>
    </row>
    <row r="76" spans="1:10" hidden="1" x14ac:dyDescent="0.2">
      <c r="A76" s="3" t="s">
        <v>741</v>
      </c>
      <c r="B76" s="6">
        <v>408.5166015625</v>
      </c>
      <c r="C76" s="6">
        <v>14.8708766712644</v>
      </c>
      <c r="D76" s="6">
        <v>33.662664115680599</v>
      </c>
      <c r="E76" s="6">
        <v>40.220868926893701</v>
      </c>
      <c r="F76" s="6">
        <v>0.96281305210412704</v>
      </c>
      <c r="G76" s="6">
        <v>88.889027767026704</v>
      </c>
      <c r="H76" s="6">
        <v>72.513118243671698</v>
      </c>
      <c r="I76" t="str">
        <f t="shared" si="1"/>
        <v>camera</v>
      </c>
      <c r="J76" t="s">
        <v>980</v>
      </c>
    </row>
    <row r="77" spans="1:10" hidden="1" x14ac:dyDescent="0.2">
      <c r="A77" s="3" t="s">
        <v>742</v>
      </c>
      <c r="B77" s="6">
        <v>443.654296875</v>
      </c>
      <c r="C77" s="6">
        <v>13.6930940211577</v>
      </c>
      <c r="D77" s="6">
        <v>33.909617882867401</v>
      </c>
      <c r="E77" s="6">
        <v>40.468081313881697</v>
      </c>
      <c r="F77" s="6">
        <v>0.96464714227999504</v>
      </c>
      <c r="G77" s="6">
        <v>89.377399921836997</v>
      </c>
      <c r="H77" s="6">
        <v>73.400628507030703</v>
      </c>
      <c r="I77" t="str">
        <f t="shared" si="1"/>
        <v>camera</v>
      </c>
      <c r="J77" t="s">
        <v>980</v>
      </c>
    </row>
    <row r="78" spans="1:10" hidden="1" x14ac:dyDescent="0.2">
      <c r="A78" s="3" t="s">
        <v>743</v>
      </c>
      <c r="B78" s="6">
        <v>478.38671875</v>
      </c>
      <c r="C78" s="6">
        <v>12.6989311406338</v>
      </c>
      <c r="D78" s="6">
        <v>34.183302885177497</v>
      </c>
      <c r="E78" s="6">
        <v>40.741579440667401</v>
      </c>
      <c r="F78" s="6">
        <v>0.96658792766468105</v>
      </c>
      <c r="G78" s="6">
        <v>89.917353359274799</v>
      </c>
      <c r="H78" s="6">
        <v>74.358411359204894</v>
      </c>
      <c r="I78" t="str">
        <f t="shared" si="1"/>
        <v>camera</v>
      </c>
      <c r="J78" t="s">
        <v>980</v>
      </c>
    </row>
    <row r="79" spans="1:10" hidden="1" x14ac:dyDescent="0.2">
      <c r="A79" s="3" t="s">
        <v>744</v>
      </c>
      <c r="B79" s="6">
        <v>539.0556640625</v>
      </c>
      <c r="C79" s="6">
        <v>11.269708130356699</v>
      </c>
      <c r="D79" s="6">
        <v>34.584934661088397</v>
      </c>
      <c r="E79" s="6">
        <v>41.142558438582199</v>
      </c>
      <c r="F79" s="6">
        <v>0.96932058131307097</v>
      </c>
      <c r="G79" s="6">
        <v>90.708432292220195</v>
      </c>
      <c r="H79" s="6">
        <v>75.740259276669306</v>
      </c>
      <c r="I79" t="str">
        <f t="shared" si="1"/>
        <v>camera</v>
      </c>
      <c r="J79" t="s">
        <v>980</v>
      </c>
    </row>
    <row r="80" spans="1:10" hidden="1" x14ac:dyDescent="0.2">
      <c r="A80" s="3" t="s">
        <v>745</v>
      </c>
      <c r="B80" s="6">
        <v>618.4150390625</v>
      </c>
      <c r="C80" s="6">
        <v>9.8234997797102892</v>
      </c>
      <c r="D80" s="6">
        <v>35.137779655200497</v>
      </c>
      <c r="E80" s="6">
        <v>41.695569724545599</v>
      </c>
      <c r="F80" s="6">
        <v>0.97279156174044101</v>
      </c>
      <c r="G80" s="6">
        <v>91.798592744759503</v>
      </c>
      <c r="H80" s="6">
        <v>77.553252054137602</v>
      </c>
      <c r="I80" t="str">
        <f t="shared" si="1"/>
        <v>camera</v>
      </c>
      <c r="J80" t="s">
        <v>980</v>
      </c>
    </row>
    <row r="81" spans="1:10" hidden="1" x14ac:dyDescent="0.2">
      <c r="A81" s="3" t="s">
        <v>746</v>
      </c>
      <c r="B81" s="6">
        <v>703.3505859375</v>
      </c>
      <c r="C81" s="6">
        <v>8.6372288890647599</v>
      </c>
      <c r="D81" s="6">
        <v>35.8597634880215</v>
      </c>
      <c r="E81" s="6">
        <v>42.417546978382802</v>
      </c>
      <c r="F81" s="6">
        <v>0.97675192156434099</v>
      </c>
      <c r="G81" s="6">
        <v>93.220743611000202</v>
      </c>
      <c r="H81" s="6">
        <v>79.703801886218102</v>
      </c>
      <c r="I81" t="str">
        <f t="shared" si="1"/>
        <v>camera</v>
      </c>
      <c r="J81" t="s">
        <v>980</v>
      </c>
    </row>
    <row r="82" spans="1:10" hidden="1" x14ac:dyDescent="0.2">
      <c r="A82" s="3" t="s">
        <v>747</v>
      </c>
      <c r="B82" s="6">
        <v>163.3076171875</v>
      </c>
      <c r="C82" s="6">
        <v>37.199734492635798</v>
      </c>
      <c r="D82" s="6">
        <v>30.391584915141301</v>
      </c>
      <c r="E82" s="6">
        <v>40.869965259951897</v>
      </c>
      <c r="F82" s="6">
        <v>0.98743877490348297</v>
      </c>
      <c r="G82" s="6">
        <v>90.170707972607403</v>
      </c>
      <c r="H82" s="6">
        <v>85.972265311356296</v>
      </c>
      <c r="I82" t="str">
        <f t="shared" si="1"/>
        <v>character</v>
      </c>
      <c r="J82" t="s">
        <v>980</v>
      </c>
    </row>
    <row r="83" spans="1:10" hidden="1" x14ac:dyDescent="0.2">
      <c r="A83" s="3" t="s">
        <v>748</v>
      </c>
      <c r="B83" s="6">
        <v>169.9169921875</v>
      </c>
      <c r="C83" s="6">
        <v>35.752751515848203</v>
      </c>
      <c r="D83" s="6">
        <v>30.454789851860699</v>
      </c>
      <c r="E83" s="6">
        <v>40.931497595013703</v>
      </c>
      <c r="F83" s="6">
        <v>0.98648937532081005</v>
      </c>
      <c r="G83" s="6">
        <v>90.292111939784107</v>
      </c>
      <c r="H83" s="6">
        <v>85.386534595863594</v>
      </c>
      <c r="I83" t="str">
        <f t="shared" si="1"/>
        <v>character</v>
      </c>
      <c r="J83" t="s">
        <v>980</v>
      </c>
    </row>
    <row r="84" spans="1:10" hidden="1" x14ac:dyDescent="0.2">
      <c r="A84" s="3" t="s">
        <v>749</v>
      </c>
      <c r="B84" s="6">
        <v>176.267578125</v>
      </c>
      <c r="C84" s="6">
        <v>34.4646478077319</v>
      </c>
      <c r="D84" s="6">
        <v>30.5586022924027</v>
      </c>
      <c r="E84" s="6">
        <v>41.035846153444503</v>
      </c>
      <c r="F84" s="6">
        <v>0.98669852113441903</v>
      </c>
      <c r="G84" s="6">
        <v>90.497960561058207</v>
      </c>
      <c r="H84" s="6">
        <v>85.515066374868596</v>
      </c>
      <c r="I84" t="str">
        <f t="shared" si="1"/>
        <v>character</v>
      </c>
      <c r="J84" t="s">
        <v>980</v>
      </c>
    </row>
    <row r="85" spans="1:10" hidden="1" x14ac:dyDescent="0.2">
      <c r="A85" s="3" t="s">
        <v>750</v>
      </c>
      <c r="B85" s="6">
        <v>186.1796875</v>
      </c>
      <c r="C85" s="6">
        <v>32.629767949309702</v>
      </c>
      <c r="D85" s="6">
        <v>30.709922284593802</v>
      </c>
      <c r="E85" s="6">
        <v>41.187815881395302</v>
      </c>
      <c r="F85" s="6">
        <v>0.98752101831288697</v>
      </c>
      <c r="G85" s="6">
        <v>90.797683276441703</v>
      </c>
      <c r="H85" s="6">
        <v>86.023280315871702</v>
      </c>
      <c r="I85" t="str">
        <f t="shared" si="1"/>
        <v>character</v>
      </c>
      <c r="J85" t="s">
        <v>980</v>
      </c>
    </row>
    <row r="86" spans="1:10" hidden="1" x14ac:dyDescent="0.2">
      <c r="A86" s="3" t="s">
        <v>751</v>
      </c>
      <c r="B86" s="6">
        <v>193.697265625</v>
      </c>
      <c r="C86" s="6">
        <v>31.3633751121777</v>
      </c>
      <c r="D86" s="6">
        <v>30.8476876120904</v>
      </c>
      <c r="E86" s="6">
        <v>41.325902509354101</v>
      </c>
      <c r="F86" s="6">
        <v>0.98799330024166099</v>
      </c>
      <c r="G86" s="6">
        <v>91.069959843246806</v>
      </c>
      <c r="H86" s="6">
        <v>86.317086982872794</v>
      </c>
      <c r="I86" t="str">
        <f t="shared" si="1"/>
        <v>character</v>
      </c>
      <c r="J86" t="s">
        <v>980</v>
      </c>
    </row>
    <row r="87" spans="1:10" hidden="1" x14ac:dyDescent="0.2">
      <c r="A87" s="3" t="s">
        <v>752</v>
      </c>
      <c r="B87" s="6">
        <v>202.1962890625</v>
      </c>
      <c r="C87" s="6">
        <v>30.0450617969659</v>
      </c>
      <c r="D87" s="6">
        <v>30.9855376930545</v>
      </c>
      <c r="E87" s="6">
        <v>41.463802419488601</v>
      </c>
      <c r="F87" s="6">
        <v>0.98817787109700705</v>
      </c>
      <c r="G87" s="6">
        <v>91.341811150327302</v>
      </c>
      <c r="H87" s="6">
        <v>86.432304697657599</v>
      </c>
      <c r="I87" t="str">
        <f t="shared" si="1"/>
        <v>character</v>
      </c>
      <c r="J87" t="s">
        <v>980</v>
      </c>
    </row>
    <row r="88" spans="1:10" hidden="1" x14ac:dyDescent="0.2">
      <c r="A88" s="3" t="s">
        <v>753</v>
      </c>
      <c r="B88" s="6">
        <v>214.5048828125</v>
      </c>
      <c r="C88" s="6">
        <v>28.321033630316901</v>
      </c>
      <c r="D88" s="6">
        <v>31.1168547133929</v>
      </c>
      <c r="E88" s="6">
        <v>41.594816256182597</v>
      </c>
      <c r="F88" s="6">
        <v>0.98815030968338202</v>
      </c>
      <c r="G88" s="6">
        <v>91.600038554889593</v>
      </c>
      <c r="H88" s="6">
        <v>86.415085409103995</v>
      </c>
      <c r="I88" t="str">
        <f t="shared" si="1"/>
        <v>character</v>
      </c>
      <c r="J88" t="s">
        <v>980</v>
      </c>
    </row>
    <row r="89" spans="1:10" hidden="1" x14ac:dyDescent="0.2">
      <c r="A89" s="3" t="s">
        <v>754</v>
      </c>
      <c r="B89" s="6">
        <v>225.201171875</v>
      </c>
      <c r="C89" s="6">
        <v>26.975880939784702</v>
      </c>
      <c r="D89" s="6">
        <v>31.2037685215465</v>
      </c>
      <c r="E89" s="6">
        <v>41.679086386787098</v>
      </c>
      <c r="F89" s="6">
        <v>0.98794031603121102</v>
      </c>
      <c r="G89" s="6">
        <v>91.766110866440499</v>
      </c>
      <c r="H89" s="6">
        <v>86.284052963445404</v>
      </c>
      <c r="I89" t="str">
        <f t="shared" si="1"/>
        <v>character</v>
      </c>
      <c r="J89" t="s">
        <v>980</v>
      </c>
    </row>
    <row r="90" spans="1:10" hidden="1" x14ac:dyDescent="0.2">
      <c r="A90" s="3" t="s">
        <v>755</v>
      </c>
      <c r="B90" s="6">
        <v>244.599609375</v>
      </c>
      <c r="C90" s="6">
        <v>24.836507366151601</v>
      </c>
      <c r="D90" s="6">
        <v>31.389642821783401</v>
      </c>
      <c r="E90" s="6">
        <v>41.865894836495499</v>
      </c>
      <c r="F90" s="6">
        <v>0.98830782381104398</v>
      </c>
      <c r="G90" s="6">
        <v>92.134195919673203</v>
      </c>
      <c r="H90" s="6">
        <v>86.513561158936199</v>
      </c>
      <c r="I90" t="str">
        <f t="shared" si="1"/>
        <v>character</v>
      </c>
      <c r="J90" t="s">
        <v>980</v>
      </c>
    </row>
    <row r="91" spans="1:10" hidden="1" x14ac:dyDescent="0.2">
      <c r="A91" s="3" t="s">
        <v>756</v>
      </c>
      <c r="B91" s="6">
        <v>256.3779296875</v>
      </c>
      <c r="C91" s="6">
        <v>23.695487390060599</v>
      </c>
      <c r="D91" s="6">
        <v>31.540576335245799</v>
      </c>
      <c r="E91" s="6">
        <v>42.016948654345299</v>
      </c>
      <c r="F91" s="6">
        <v>0.98854150683448805</v>
      </c>
      <c r="G91" s="6">
        <v>92.431773782717002</v>
      </c>
      <c r="H91" s="6">
        <v>86.659956796017198</v>
      </c>
      <c r="I91" t="str">
        <f t="shared" si="1"/>
        <v>character</v>
      </c>
      <c r="J91" t="s">
        <v>980</v>
      </c>
    </row>
    <row r="92" spans="1:10" hidden="1" x14ac:dyDescent="0.2">
      <c r="A92" s="3" t="s">
        <v>214</v>
      </c>
      <c r="B92" s="6">
        <v>282.0390625</v>
      </c>
      <c r="C92" s="6">
        <v>21.5395695410099</v>
      </c>
      <c r="D92" s="6">
        <v>31.814222858572599</v>
      </c>
      <c r="E92" s="6">
        <v>42.293269165279597</v>
      </c>
      <c r="F92" s="6">
        <v>0.98928330089490601</v>
      </c>
      <c r="G92" s="6">
        <v>92.976011714934799</v>
      </c>
      <c r="H92" s="6">
        <v>87.127054254785406</v>
      </c>
      <c r="I92" t="str">
        <f t="shared" si="1"/>
        <v>character</v>
      </c>
      <c r="J92" t="s">
        <v>980</v>
      </c>
    </row>
    <row r="93" spans="1:10" hidden="1" x14ac:dyDescent="0.2">
      <c r="A93" s="3" t="s">
        <v>215</v>
      </c>
      <c r="B93" s="6">
        <v>307.05078125</v>
      </c>
      <c r="C93" s="6">
        <v>19.7850009541378</v>
      </c>
      <c r="D93" s="6">
        <v>32.0374067114832</v>
      </c>
      <c r="E93" s="6">
        <v>42.516615770422398</v>
      </c>
      <c r="F93" s="6">
        <v>0.98958772857975597</v>
      </c>
      <c r="G93" s="6">
        <v>93.415815168217506</v>
      </c>
      <c r="H93" s="6">
        <v>87.319802692018996</v>
      </c>
      <c r="I93" t="str">
        <f t="shared" si="1"/>
        <v>character</v>
      </c>
      <c r="J93" t="s">
        <v>980</v>
      </c>
    </row>
    <row r="94" spans="1:10" hidden="1" x14ac:dyDescent="0.2">
      <c r="A94" s="3" t="s">
        <v>216</v>
      </c>
      <c r="B94" s="6">
        <v>326.2177734375</v>
      </c>
      <c r="C94" s="6">
        <v>18.6225291650576</v>
      </c>
      <c r="D94" s="6">
        <v>32.250895064281302</v>
      </c>
      <c r="E94" s="6">
        <v>42.729945766428798</v>
      </c>
      <c r="F94" s="6">
        <v>0.98982636047825201</v>
      </c>
      <c r="G94" s="6">
        <v>93.835823231132593</v>
      </c>
      <c r="H94" s="6">
        <v>87.471323540469001</v>
      </c>
      <c r="I94" t="str">
        <f t="shared" si="1"/>
        <v>character</v>
      </c>
      <c r="J94" t="s">
        <v>980</v>
      </c>
    </row>
    <row r="95" spans="1:10" hidden="1" x14ac:dyDescent="0.2">
      <c r="A95" s="3" t="s">
        <v>217</v>
      </c>
      <c r="B95" s="6">
        <v>372.22265625</v>
      </c>
      <c r="C95" s="6">
        <v>16.3208764915153</v>
      </c>
      <c r="D95" s="6">
        <v>32.558607399176204</v>
      </c>
      <c r="E95" s="6">
        <v>43.037072941807097</v>
      </c>
      <c r="F95" s="6">
        <v>0.99026032127652797</v>
      </c>
      <c r="G95" s="6">
        <v>94.440394830202493</v>
      </c>
      <c r="H95" s="6">
        <v>87.747843875643397</v>
      </c>
      <c r="I95" t="str">
        <f t="shared" si="1"/>
        <v>character</v>
      </c>
      <c r="J95" t="s">
        <v>980</v>
      </c>
    </row>
    <row r="96" spans="1:10" hidden="1" x14ac:dyDescent="0.2">
      <c r="A96" s="3" t="s">
        <v>218</v>
      </c>
      <c r="B96" s="6">
        <v>426.5478515625</v>
      </c>
      <c r="C96" s="6">
        <v>14.242247329922</v>
      </c>
      <c r="D96" s="6">
        <v>32.944760386651403</v>
      </c>
      <c r="E96" s="6">
        <v>43.423400765599403</v>
      </c>
      <c r="F96" s="6">
        <v>0.99078983039299995</v>
      </c>
      <c r="G96" s="6">
        <v>95.2007208633175</v>
      </c>
      <c r="H96" s="6">
        <v>88.086957652976693</v>
      </c>
      <c r="I96" t="str">
        <f t="shared" si="1"/>
        <v>character</v>
      </c>
      <c r="J96" t="s">
        <v>980</v>
      </c>
    </row>
    <row r="97" spans="1:10" hidden="1" x14ac:dyDescent="0.2">
      <c r="A97" s="3" t="s">
        <v>219</v>
      </c>
      <c r="B97" s="6">
        <v>491.44140625</v>
      </c>
      <c r="C97" s="6">
        <v>12.361595752291199</v>
      </c>
      <c r="D97" s="6">
        <v>33.4039518520174</v>
      </c>
      <c r="E97" s="6">
        <v>43.882619019809603</v>
      </c>
      <c r="F97" s="6">
        <v>0.99134126009835299</v>
      </c>
      <c r="G97" s="6">
        <v>96.104326597916995</v>
      </c>
      <c r="H97" s="6">
        <v>88.442118596876298</v>
      </c>
      <c r="I97" t="str">
        <f t="shared" si="1"/>
        <v>character</v>
      </c>
      <c r="J97" t="s">
        <v>980</v>
      </c>
    </row>
    <row r="98" spans="1:10" hidden="1" x14ac:dyDescent="0.2">
      <c r="A98" s="3" t="s">
        <v>757</v>
      </c>
      <c r="B98" s="6">
        <v>695.10546875</v>
      </c>
      <c r="C98" s="6">
        <v>8.7396809162278704</v>
      </c>
      <c r="D98" s="6">
        <v>26.588298370847099</v>
      </c>
      <c r="E98" s="6">
        <v>32.916007070337699</v>
      </c>
      <c r="F98" s="6">
        <v>0.963897723048737</v>
      </c>
      <c r="G98" s="6">
        <v>73.477530280228507</v>
      </c>
      <c r="H98" s="6">
        <v>73.035938642773502</v>
      </c>
      <c r="I98" t="str">
        <f t="shared" si="1"/>
        <v>concord</v>
      </c>
      <c r="J98" t="s">
        <v>980</v>
      </c>
    </row>
    <row r="99" spans="1:10" hidden="1" x14ac:dyDescent="0.2">
      <c r="A99" s="3" t="s">
        <v>758</v>
      </c>
      <c r="B99" s="6">
        <v>719.1279296875</v>
      </c>
      <c r="C99" s="6">
        <v>8.4477319670227793</v>
      </c>
      <c r="D99" s="6">
        <v>26.791264364241201</v>
      </c>
      <c r="E99" s="6">
        <v>33.118828969449403</v>
      </c>
      <c r="F99" s="6">
        <v>0.96533144812684202</v>
      </c>
      <c r="G99" s="6">
        <v>73.988025475614705</v>
      </c>
      <c r="H99" s="6">
        <v>73.736127251700296</v>
      </c>
      <c r="I99" t="str">
        <f t="shared" si="1"/>
        <v>concord</v>
      </c>
      <c r="J99" t="s">
        <v>980</v>
      </c>
    </row>
    <row r="100" spans="1:10" hidden="1" x14ac:dyDescent="0.2">
      <c r="A100" s="3" t="s">
        <v>759</v>
      </c>
      <c r="B100" s="6">
        <v>743.3515625</v>
      </c>
      <c r="C100" s="6">
        <v>8.1724453225992892</v>
      </c>
      <c r="D100" s="6">
        <v>26.9913199988355</v>
      </c>
      <c r="E100" s="6">
        <v>33.318843561723803</v>
      </c>
      <c r="F100" s="6">
        <v>0.96662202338486203</v>
      </c>
      <c r="G100" s="6">
        <v>74.480402323610093</v>
      </c>
      <c r="H100" s="6">
        <v>74.375411421718098</v>
      </c>
      <c r="I100" t="str">
        <f t="shared" si="1"/>
        <v>concord</v>
      </c>
      <c r="J100" t="s">
        <v>980</v>
      </c>
    </row>
    <row r="101" spans="1:10" hidden="1" x14ac:dyDescent="0.2">
      <c r="A101" s="3" t="s">
        <v>760</v>
      </c>
      <c r="B101" s="6">
        <v>771.8251953125</v>
      </c>
      <c r="C101" s="6">
        <v>7.8709532118089598</v>
      </c>
      <c r="D101" s="6">
        <v>27.211537353979001</v>
      </c>
      <c r="E101" s="6">
        <v>33.538930295949697</v>
      </c>
      <c r="F101" s="6">
        <v>0.96804041442081301</v>
      </c>
      <c r="G101" s="6">
        <v>75.010718608542106</v>
      </c>
      <c r="H101" s="6">
        <v>75.087999915863705</v>
      </c>
      <c r="I101" t="str">
        <f t="shared" si="1"/>
        <v>concord</v>
      </c>
      <c r="J101" t="s">
        <v>980</v>
      </c>
    </row>
    <row r="102" spans="1:10" hidden="1" x14ac:dyDescent="0.2">
      <c r="A102" s="3" t="s">
        <v>761</v>
      </c>
      <c r="B102" s="6">
        <v>799.845703125</v>
      </c>
      <c r="C102" s="6">
        <v>7.5952148974045297</v>
      </c>
      <c r="D102" s="6">
        <v>27.446033644367301</v>
      </c>
      <c r="E102" s="6">
        <v>33.773363707564798</v>
      </c>
      <c r="F102" s="6">
        <v>0.96945819733944205</v>
      </c>
      <c r="G102" s="6">
        <v>75.563730038925598</v>
      </c>
      <c r="H102" s="6">
        <v>75.810896209736001</v>
      </c>
      <c r="I102" t="str">
        <f t="shared" si="1"/>
        <v>concord</v>
      </c>
      <c r="J102" t="s">
        <v>980</v>
      </c>
    </row>
    <row r="103" spans="1:10" hidden="1" x14ac:dyDescent="0.2">
      <c r="A103" s="3" t="s">
        <v>762</v>
      </c>
      <c r="B103" s="6">
        <v>831.41796875</v>
      </c>
      <c r="C103" s="6">
        <v>7.3067942098166299</v>
      </c>
      <c r="D103" s="6">
        <v>27.707661293577999</v>
      </c>
      <c r="E103" s="6">
        <v>34.034868883492003</v>
      </c>
      <c r="F103" s="6">
        <v>0.97100240224530399</v>
      </c>
      <c r="G103" s="6">
        <v>76.167779621551304</v>
      </c>
      <c r="H103" s="6">
        <v>76.610517783384694</v>
      </c>
      <c r="I103" t="str">
        <f t="shared" si="1"/>
        <v>concord</v>
      </c>
      <c r="J103" t="s">
        <v>980</v>
      </c>
    </row>
    <row r="104" spans="1:10" hidden="1" x14ac:dyDescent="0.2">
      <c r="A104" s="3" t="s">
        <v>763</v>
      </c>
      <c r="B104" s="6">
        <v>868.802734375</v>
      </c>
      <c r="C104" s="6">
        <v>6.9923813077893202</v>
      </c>
      <c r="D104" s="6">
        <v>28.0066595919021</v>
      </c>
      <c r="E104" s="6">
        <v>34.333736822259297</v>
      </c>
      <c r="F104" s="6">
        <v>0.97264275259049804</v>
      </c>
      <c r="G104" s="6">
        <v>76.843667255913601</v>
      </c>
      <c r="H104" s="6">
        <v>77.474168726807605</v>
      </c>
      <c r="I104" t="str">
        <f t="shared" si="1"/>
        <v>concord</v>
      </c>
      <c r="J104" t="s">
        <v>980</v>
      </c>
    </row>
    <row r="105" spans="1:10" hidden="1" x14ac:dyDescent="0.2">
      <c r="A105" s="3" t="s">
        <v>764</v>
      </c>
      <c r="B105" s="6">
        <v>903.2919921875</v>
      </c>
      <c r="C105" s="6">
        <v>6.7254000395688101</v>
      </c>
      <c r="D105" s="6">
        <v>28.3037818472563</v>
      </c>
      <c r="E105" s="6">
        <v>34.6307539192902</v>
      </c>
      <c r="F105" s="6">
        <v>0.97417661776581999</v>
      </c>
      <c r="G105" s="6">
        <v>77.502187970367103</v>
      </c>
      <c r="H105" s="6">
        <v>78.2952582106047</v>
      </c>
      <c r="I105" t="str">
        <f t="shared" si="1"/>
        <v>concord</v>
      </c>
      <c r="J105" t="s">
        <v>980</v>
      </c>
    </row>
    <row r="106" spans="1:10" hidden="1" x14ac:dyDescent="0.2">
      <c r="A106" s="3" t="s">
        <v>765</v>
      </c>
      <c r="B106" s="6">
        <v>955.1201171875</v>
      </c>
      <c r="C106" s="6">
        <v>6.3604565443441698</v>
      </c>
      <c r="D106" s="6">
        <v>28.678129487527499</v>
      </c>
      <c r="E106" s="6">
        <v>35.005028885413402</v>
      </c>
      <c r="F106" s="6">
        <v>0.97604733506165997</v>
      </c>
      <c r="G106" s="6">
        <v>78.3162116937078</v>
      </c>
      <c r="H106" s="6">
        <v>79.3146553315446</v>
      </c>
      <c r="I106" t="str">
        <f t="shared" si="1"/>
        <v>concord</v>
      </c>
      <c r="J106" t="s">
        <v>980</v>
      </c>
    </row>
    <row r="107" spans="1:10" hidden="1" x14ac:dyDescent="0.2">
      <c r="A107" s="3" t="s">
        <v>766</v>
      </c>
      <c r="B107" s="6">
        <v>993.4736328125</v>
      </c>
      <c r="C107" s="6">
        <v>6.11490813581214</v>
      </c>
      <c r="D107" s="6">
        <v>29.047013724886501</v>
      </c>
      <c r="E107" s="6">
        <v>35.373850030821501</v>
      </c>
      <c r="F107" s="6">
        <v>0.97770568025505</v>
      </c>
      <c r="G107" s="6">
        <v>79.104058232771806</v>
      </c>
      <c r="H107" s="6">
        <v>80.235158850920499</v>
      </c>
      <c r="I107" t="str">
        <f t="shared" si="1"/>
        <v>concord</v>
      </c>
      <c r="J107" t="s">
        <v>980</v>
      </c>
    </row>
    <row r="108" spans="1:10" hidden="1" x14ac:dyDescent="0.2">
      <c r="A108" s="3" t="s">
        <v>767</v>
      </c>
      <c r="B108" s="6">
        <v>1061.1240234375</v>
      </c>
      <c r="C108" s="6">
        <v>5.7250612235882699</v>
      </c>
      <c r="D108" s="6">
        <v>29.515951623811802</v>
      </c>
      <c r="E108" s="6">
        <v>35.842771535036597</v>
      </c>
      <c r="F108" s="6">
        <v>0.97966607013197005</v>
      </c>
      <c r="G108" s="6">
        <v>80.089227284494598</v>
      </c>
      <c r="H108" s="6">
        <v>81.344129808928798</v>
      </c>
      <c r="I108" t="str">
        <f t="shared" si="1"/>
        <v>concord</v>
      </c>
      <c r="J108" t="s">
        <v>980</v>
      </c>
    </row>
    <row r="109" spans="1:10" hidden="1" x14ac:dyDescent="0.2">
      <c r="A109" s="3" t="s">
        <v>768</v>
      </c>
      <c r="B109" s="6">
        <v>1122.3623046875</v>
      </c>
      <c r="C109" s="6">
        <v>5.41269069232637</v>
      </c>
      <c r="D109" s="6">
        <v>29.9922561991552</v>
      </c>
      <c r="E109" s="6">
        <v>36.319088275496497</v>
      </c>
      <c r="F109" s="6">
        <v>0.98151177829278302</v>
      </c>
      <c r="G109" s="6">
        <v>81.075031515071203</v>
      </c>
      <c r="H109" s="6">
        <v>82.409241460426799</v>
      </c>
      <c r="I109" t="str">
        <f t="shared" si="1"/>
        <v>concord</v>
      </c>
      <c r="J109" t="s">
        <v>980</v>
      </c>
    </row>
    <row r="110" spans="1:10" hidden="1" x14ac:dyDescent="0.2">
      <c r="A110" s="3" t="s">
        <v>769</v>
      </c>
      <c r="B110" s="6">
        <v>1186.220703125</v>
      </c>
      <c r="C110" s="6">
        <v>5.1213066708378303</v>
      </c>
      <c r="D110" s="6">
        <v>30.5668412706415</v>
      </c>
      <c r="E110" s="6">
        <v>36.893635697089401</v>
      </c>
      <c r="F110" s="6">
        <v>0.98346664368415904</v>
      </c>
      <c r="G110" s="6">
        <v>82.249012060607896</v>
      </c>
      <c r="H110" s="6">
        <v>83.560032800523501</v>
      </c>
      <c r="I110" t="str">
        <f t="shared" si="1"/>
        <v>concord</v>
      </c>
      <c r="J110" t="s">
        <v>980</v>
      </c>
    </row>
    <row r="111" spans="1:10" hidden="1" x14ac:dyDescent="0.2">
      <c r="A111" s="3" t="s">
        <v>770</v>
      </c>
      <c r="B111" s="6">
        <v>1285.9423828125</v>
      </c>
      <c r="C111" s="6">
        <v>4.7241618918518702</v>
      </c>
      <c r="D111" s="6">
        <v>31.259700846725099</v>
      </c>
      <c r="E111" s="6">
        <v>37.586598403381998</v>
      </c>
      <c r="F111" s="6">
        <v>0.98560666513580197</v>
      </c>
      <c r="G111" s="6">
        <v>83.648981715052599</v>
      </c>
      <c r="H111" s="6">
        <v>84.847155011912704</v>
      </c>
      <c r="I111" t="str">
        <f t="shared" si="1"/>
        <v>concord</v>
      </c>
      <c r="J111" t="s">
        <v>980</v>
      </c>
    </row>
    <row r="112" spans="1:10" hidden="1" x14ac:dyDescent="0.2">
      <c r="A112" s="3" t="s">
        <v>771</v>
      </c>
      <c r="B112" s="6">
        <v>1409.96484375</v>
      </c>
      <c r="C112" s="6">
        <v>4.30861806727229</v>
      </c>
      <c r="D112" s="6">
        <v>32.104899812002998</v>
      </c>
      <c r="E112" s="6">
        <v>38.431875306780498</v>
      </c>
      <c r="F112" s="6">
        <v>0.987857380079467</v>
      </c>
      <c r="G112" s="6">
        <v>85.340659024270593</v>
      </c>
      <c r="H112" s="6">
        <v>86.232381805865302</v>
      </c>
      <c r="I112" t="str">
        <f t="shared" si="1"/>
        <v>concord</v>
      </c>
      <c r="J112" t="s">
        <v>980</v>
      </c>
    </row>
    <row r="113" spans="1:10" hidden="1" x14ac:dyDescent="0.2">
      <c r="A113" s="3" t="s">
        <v>772</v>
      </c>
      <c r="B113" s="6">
        <v>1552.3837890625</v>
      </c>
      <c r="C113" s="6">
        <v>3.9133364074026802</v>
      </c>
      <c r="D113" s="6">
        <v>33.090980003093499</v>
      </c>
      <c r="E113" s="6">
        <v>39.418128813856903</v>
      </c>
      <c r="F113" s="6">
        <v>0.99005515531675203</v>
      </c>
      <c r="G113" s="6">
        <v>87.300548855214203</v>
      </c>
      <c r="H113" s="6">
        <v>87.616954957373494</v>
      </c>
      <c r="I113" t="str">
        <f t="shared" si="1"/>
        <v>concord</v>
      </c>
      <c r="J113" t="s">
        <v>980</v>
      </c>
    </row>
    <row r="114" spans="1:10" hidden="1" x14ac:dyDescent="0.2">
      <c r="A114" s="3" t="s">
        <v>773</v>
      </c>
      <c r="B114" s="6">
        <v>358.205078125</v>
      </c>
      <c r="C114" s="6">
        <v>16.9595585629304</v>
      </c>
      <c r="D114" s="6">
        <v>32.128567015701897</v>
      </c>
      <c r="E114" s="6">
        <v>36.211462592674401</v>
      </c>
      <c r="F114" s="6">
        <v>0.97124532118560203</v>
      </c>
      <c r="G114" s="6">
        <v>80.853406634313302</v>
      </c>
      <c r="H114" s="6">
        <v>76.737484004418803</v>
      </c>
      <c r="I114" t="str">
        <f t="shared" si="1"/>
        <v>deskchair</v>
      </c>
      <c r="J114" t="s">
        <v>980</v>
      </c>
    </row>
    <row r="115" spans="1:10" hidden="1" x14ac:dyDescent="0.2">
      <c r="A115" s="3" t="s">
        <v>774</v>
      </c>
      <c r="B115" s="6">
        <v>374.0693359375</v>
      </c>
      <c r="C115" s="6">
        <v>16.240304714565099</v>
      </c>
      <c r="D115" s="6">
        <v>32.295381282141399</v>
      </c>
      <c r="E115" s="6">
        <v>36.376715785940803</v>
      </c>
      <c r="F115" s="6">
        <v>0.97212559976026203</v>
      </c>
      <c r="G115" s="6">
        <v>81.193455628432602</v>
      </c>
      <c r="H115" s="6">
        <v>77.200286621403393</v>
      </c>
      <c r="I115" t="str">
        <f t="shared" si="1"/>
        <v>deskchair</v>
      </c>
      <c r="J115" t="s">
        <v>980</v>
      </c>
    </row>
    <row r="116" spans="1:10" hidden="1" x14ac:dyDescent="0.2">
      <c r="A116" s="3" t="s">
        <v>775</v>
      </c>
      <c r="B116" s="6">
        <v>388.0966796875</v>
      </c>
      <c r="C116" s="6">
        <v>15.6533160883821</v>
      </c>
      <c r="D116" s="6">
        <v>32.432816126381098</v>
      </c>
      <c r="E116" s="6">
        <v>36.514290428316002</v>
      </c>
      <c r="F116" s="6">
        <v>0.97279921472966802</v>
      </c>
      <c r="G116" s="6">
        <v>81.475521034885503</v>
      </c>
      <c r="H116" s="6">
        <v>77.557322494434601</v>
      </c>
      <c r="I116" t="str">
        <f t="shared" si="1"/>
        <v>deskchair</v>
      </c>
      <c r="J116" t="s">
        <v>980</v>
      </c>
    </row>
    <row r="117" spans="1:10" hidden="1" x14ac:dyDescent="0.2">
      <c r="A117" s="3" t="s">
        <v>776</v>
      </c>
      <c r="B117" s="6">
        <v>406.6611328125</v>
      </c>
      <c r="C117" s="6">
        <v>14.9387278739545</v>
      </c>
      <c r="D117" s="6">
        <v>32.600535506675598</v>
      </c>
      <c r="E117" s="6">
        <v>36.682087754332699</v>
      </c>
      <c r="F117" s="6">
        <v>0.97366958965860395</v>
      </c>
      <c r="G117" s="6">
        <v>81.818392132093805</v>
      </c>
      <c r="H117" s="6">
        <v>78.022384399984503</v>
      </c>
      <c r="I117" t="str">
        <f t="shared" si="1"/>
        <v>deskchair</v>
      </c>
      <c r="J117" t="s">
        <v>980</v>
      </c>
    </row>
    <row r="118" spans="1:10" hidden="1" x14ac:dyDescent="0.2">
      <c r="A118" s="3" t="s">
        <v>777</v>
      </c>
      <c r="B118" s="6">
        <v>422.6416015625</v>
      </c>
      <c r="C118" s="6">
        <v>14.373880795314101</v>
      </c>
      <c r="D118" s="6">
        <v>32.7797629598439</v>
      </c>
      <c r="E118" s="6">
        <v>36.863292638939299</v>
      </c>
      <c r="F118" s="6">
        <v>0.97463547729008704</v>
      </c>
      <c r="G118" s="6">
        <v>82.187352604029599</v>
      </c>
      <c r="H118" s="6">
        <v>78.543458516413907</v>
      </c>
      <c r="I118" t="str">
        <f t="shared" si="1"/>
        <v>deskchair</v>
      </c>
      <c r="J118" t="s">
        <v>980</v>
      </c>
    </row>
    <row r="119" spans="1:10" hidden="1" x14ac:dyDescent="0.2">
      <c r="A119" s="3" t="s">
        <v>778</v>
      </c>
      <c r="B119" s="6">
        <v>441.5634765625</v>
      </c>
      <c r="C119" s="6">
        <v>13.7579313563089</v>
      </c>
      <c r="D119" s="6">
        <v>32.9824113166611</v>
      </c>
      <c r="E119" s="6">
        <v>37.065911948972897</v>
      </c>
      <c r="F119" s="6">
        <v>0.97553468596516502</v>
      </c>
      <c r="G119" s="6">
        <v>82.598465144440596</v>
      </c>
      <c r="H119" s="6">
        <v>79.033314117599502</v>
      </c>
      <c r="I119" t="str">
        <f t="shared" si="1"/>
        <v>deskchair</v>
      </c>
      <c r="J119" t="s">
        <v>980</v>
      </c>
    </row>
    <row r="120" spans="1:10" hidden="1" x14ac:dyDescent="0.2">
      <c r="A120" s="3" t="s">
        <v>779</v>
      </c>
      <c r="B120" s="6">
        <v>466.1435546875</v>
      </c>
      <c r="C120" s="6">
        <v>13.0324659408251</v>
      </c>
      <c r="D120" s="6">
        <v>33.221251367114</v>
      </c>
      <c r="E120" s="6">
        <v>37.304559890536602</v>
      </c>
      <c r="F120" s="6">
        <v>0.97659540282388602</v>
      </c>
      <c r="G120" s="6">
        <v>83.080929461552103</v>
      </c>
      <c r="H120" s="6">
        <v>79.617107797215795</v>
      </c>
      <c r="I120" t="str">
        <f t="shared" si="1"/>
        <v>deskchair</v>
      </c>
      <c r="J120" t="s">
        <v>980</v>
      </c>
    </row>
    <row r="121" spans="1:10" hidden="1" x14ac:dyDescent="0.2">
      <c r="A121" s="3" t="s">
        <v>780</v>
      </c>
      <c r="B121" s="6">
        <v>487.298828125</v>
      </c>
      <c r="C121" s="6">
        <v>12.4666829661278</v>
      </c>
      <c r="D121" s="6">
        <v>33.441477948858299</v>
      </c>
      <c r="E121" s="6">
        <v>37.521811103679397</v>
      </c>
      <c r="F121" s="6">
        <v>0.97739973944922298</v>
      </c>
      <c r="G121" s="6">
        <v>83.518681449070101</v>
      </c>
      <c r="H121" s="6">
        <v>80.064135321413502</v>
      </c>
      <c r="I121" t="str">
        <f t="shared" si="1"/>
        <v>deskchair</v>
      </c>
      <c r="J121" t="s">
        <v>980</v>
      </c>
    </row>
    <row r="122" spans="1:10" hidden="1" x14ac:dyDescent="0.2">
      <c r="A122" s="3" t="s">
        <v>781</v>
      </c>
      <c r="B122" s="6">
        <v>520.8828125</v>
      </c>
      <c r="C122" s="6">
        <v>11.6628920252576</v>
      </c>
      <c r="D122" s="6">
        <v>33.7537138096924</v>
      </c>
      <c r="E122" s="6">
        <v>37.834450020101499</v>
      </c>
      <c r="F122" s="6">
        <v>0.978618788046969</v>
      </c>
      <c r="G122" s="6">
        <v>84.146526351208706</v>
      </c>
      <c r="H122" s="6">
        <v>80.748862730004504</v>
      </c>
      <c r="I122" t="str">
        <f t="shared" si="1"/>
        <v>deskchair</v>
      </c>
      <c r="J122" t="s">
        <v>980</v>
      </c>
    </row>
    <row r="123" spans="1:10" hidden="1" x14ac:dyDescent="0.2">
      <c r="A123" s="3" t="s">
        <v>782</v>
      </c>
      <c r="B123" s="6">
        <v>546.078125</v>
      </c>
      <c r="C123" s="6">
        <v>11.1247818249449</v>
      </c>
      <c r="D123" s="6">
        <v>34.062108866526103</v>
      </c>
      <c r="E123" s="6">
        <v>38.142806282647697</v>
      </c>
      <c r="F123" s="6">
        <v>0.97972494426965495</v>
      </c>
      <c r="G123" s="6">
        <v>84.763686059936504</v>
      </c>
      <c r="H123" s="6">
        <v>81.377787618284401</v>
      </c>
      <c r="I123" t="str">
        <f t="shared" si="1"/>
        <v>deskchair</v>
      </c>
      <c r="J123" t="s">
        <v>980</v>
      </c>
    </row>
    <row r="124" spans="1:10" hidden="1" x14ac:dyDescent="0.2">
      <c r="A124" s="3" t="s">
        <v>783</v>
      </c>
      <c r="B124" s="6">
        <v>589.02734375</v>
      </c>
      <c r="C124" s="6">
        <v>10.313612881405399</v>
      </c>
      <c r="D124" s="6">
        <v>34.471764981802401</v>
      </c>
      <c r="E124" s="6">
        <v>38.554284787246203</v>
      </c>
      <c r="F124" s="6">
        <v>0.98114678234702501</v>
      </c>
      <c r="G124" s="6">
        <v>85.584581559000696</v>
      </c>
      <c r="H124" s="6">
        <v>82.196974772743005</v>
      </c>
      <c r="I124" t="str">
        <f t="shared" si="1"/>
        <v>deskchair</v>
      </c>
      <c r="J124" t="s">
        <v>980</v>
      </c>
    </row>
    <row r="125" spans="1:10" hidden="1" x14ac:dyDescent="0.2">
      <c r="A125" s="3" t="s">
        <v>784</v>
      </c>
      <c r="B125" s="6">
        <v>629.1630859375</v>
      </c>
      <c r="C125" s="6">
        <v>9.6556840917451403</v>
      </c>
      <c r="D125" s="6">
        <v>34.903460092109199</v>
      </c>
      <c r="E125" s="6">
        <v>38.9861194055743</v>
      </c>
      <c r="F125" s="6">
        <v>0.98248870279503797</v>
      </c>
      <c r="G125" s="6">
        <v>86.443452867775093</v>
      </c>
      <c r="H125" s="6">
        <v>82.981391073772301</v>
      </c>
      <c r="I125" t="str">
        <f t="shared" si="1"/>
        <v>deskchair</v>
      </c>
      <c r="J125" t="s">
        <v>980</v>
      </c>
    </row>
    <row r="126" spans="1:10" hidden="1" x14ac:dyDescent="0.2">
      <c r="A126" s="3" t="s">
        <v>785</v>
      </c>
      <c r="B126" s="6">
        <v>668.5712890625</v>
      </c>
      <c r="C126" s="6">
        <v>9.0865403576014003</v>
      </c>
      <c r="D126" s="6">
        <v>35.4323849630008</v>
      </c>
      <c r="E126" s="6">
        <v>39.514954127406398</v>
      </c>
      <c r="F126" s="6">
        <v>0.98390307906560504</v>
      </c>
      <c r="G126" s="6">
        <v>87.492405615815599</v>
      </c>
      <c r="H126" s="6">
        <v>83.820189314296798</v>
      </c>
      <c r="I126" t="str">
        <f t="shared" si="1"/>
        <v>deskchair</v>
      </c>
      <c r="J126" t="s">
        <v>980</v>
      </c>
    </row>
    <row r="127" spans="1:10" hidden="1" x14ac:dyDescent="0.2">
      <c r="A127" s="3" t="s">
        <v>786</v>
      </c>
      <c r="B127" s="6">
        <v>733.06640625</v>
      </c>
      <c r="C127" s="6">
        <v>8.2871073455359294</v>
      </c>
      <c r="D127" s="6">
        <v>36.081260877642798</v>
      </c>
      <c r="E127" s="6">
        <v>40.163551523412501</v>
      </c>
      <c r="F127" s="6">
        <v>0.98555323728289401</v>
      </c>
      <c r="G127" s="6">
        <v>88.775748943131504</v>
      </c>
      <c r="H127" s="6">
        <v>84.814667919236399</v>
      </c>
      <c r="I127" t="str">
        <f t="shared" si="1"/>
        <v>deskchair</v>
      </c>
      <c r="J127" t="s">
        <v>980</v>
      </c>
    </row>
    <row r="128" spans="1:10" hidden="1" x14ac:dyDescent="0.2">
      <c r="A128" s="3" t="s">
        <v>787</v>
      </c>
      <c r="B128" s="6">
        <v>813.9228515625</v>
      </c>
      <c r="C128" s="6">
        <v>7.4638523643091403</v>
      </c>
      <c r="D128" s="6">
        <v>36.9233488787185</v>
      </c>
      <c r="E128" s="6">
        <v>41.005974313585</v>
      </c>
      <c r="F128" s="6">
        <v>0.98733221194841603</v>
      </c>
      <c r="G128" s="6">
        <v>90.439036355044195</v>
      </c>
      <c r="H128" s="6">
        <v>85.906230483502199</v>
      </c>
      <c r="I128" t="str">
        <f t="shared" si="1"/>
        <v>deskchair</v>
      </c>
      <c r="J128" t="s">
        <v>980</v>
      </c>
    </row>
    <row r="129" spans="1:10" hidden="1" x14ac:dyDescent="0.2">
      <c r="A129" s="3" t="s">
        <v>788</v>
      </c>
      <c r="B129" s="6">
        <v>904.115234375</v>
      </c>
      <c r="C129" s="6">
        <v>6.7192762261102104</v>
      </c>
      <c r="D129" s="6">
        <v>37.877939739729896</v>
      </c>
      <c r="E129" s="6">
        <v>41.960778444109799</v>
      </c>
      <c r="F129" s="6">
        <v>0.98908045495128205</v>
      </c>
      <c r="G129" s="6">
        <v>92.321123394002996</v>
      </c>
      <c r="H129" s="6">
        <v>86.998963654397997</v>
      </c>
      <c r="I129" t="str">
        <f t="shared" si="1"/>
        <v>deskchair</v>
      </c>
      <c r="J129" t="s">
        <v>980</v>
      </c>
    </row>
    <row r="130" spans="1:10" x14ac:dyDescent="0.2">
      <c r="A130" s="3" t="s">
        <v>789</v>
      </c>
      <c r="B130" s="6">
        <v>324.5126953125</v>
      </c>
      <c r="C130" s="6">
        <v>18.7203770075925</v>
      </c>
      <c r="D130" s="6">
        <v>29.542891926607702</v>
      </c>
      <c r="E130" s="6">
        <v>36.4717118464675</v>
      </c>
      <c r="F130" s="6">
        <v>0.98431041662152896</v>
      </c>
      <c r="G130" s="6">
        <v>81.388318454546805</v>
      </c>
      <c r="H130" s="6">
        <v>84.064076975274702</v>
      </c>
      <c r="I130" t="str">
        <f t="shared" si="1"/>
        <v>earth</v>
      </c>
      <c r="J130" t="s">
        <v>980</v>
      </c>
    </row>
    <row r="131" spans="1:10" x14ac:dyDescent="0.2">
      <c r="A131" s="3" t="s">
        <v>790</v>
      </c>
      <c r="B131" s="6">
        <v>336.140625</v>
      </c>
      <c r="C131" s="6">
        <v>18.072793194812402</v>
      </c>
      <c r="D131" s="6">
        <v>29.734621804055301</v>
      </c>
      <c r="E131" s="6">
        <v>36.663304749306697</v>
      </c>
      <c r="F131" s="6">
        <v>0.98490188688837099</v>
      </c>
      <c r="G131" s="6">
        <v>81.780071615252098</v>
      </c>
      <c r="H131" s="6">
        <v>84.420070784157403</v>
      </c>
      <c r="I131" t="str">
        <f t="shared" ref="I131:I194" si="2">MID(A131,1,(FIND(".ppm",A131))-1)</f>
        <v>earth</v>
      </c>
      <c r="J131" t="s">
        <v>980</v>
      </c>
    </row>
    <row r="132" spans="1:10" x14ac:dyDescent="0.2">
      <c r="A132" s="3" t="s">
        <v>791</v>
      </c>
      <c r="B132" s="6">
        <v>348.125</v>
      </c>
      <c r="C132" s="6">
        <v>17.450628366247798</v>
      </c>
      <c r="D132" s="6">
        <v>29.911935618699498</v>
      </c>
      <c r="E132" s="6">
        <v>36.840654991281902</v>
      </c>
      <c r="F132" s="6">
        <v>0.98537110273150197</v>
      </c>
      <c r="G132" s="6">
        <v>82.141328728935903</v>
      </c>
      <c r="H132" s="6">
        <v>84.704056705660804</v>
      </c>
      <c r="I132" t="str">
        <f t="shared" si="2"/>
        <v>earth</v>
      </c>
      <c r="J132" t="s">
        <v>980</v>
      </c>
    </row>
    <row r="133" spans="1:10" x14ac:dyDescent="0.2">
      <c r="A133" s="3" t="s">
        <v>792</v>
      </c>
      <c r="B133" s="6">
        <v>362.6181640625</v>
      </c>
      <c r="C133" s="6">
        <v>16.753159665087601</v>
      </c>
      <c r="D133" s="6">
        <v>30.112521448643299</v>
      </c>
      <c r="E133" s="6">
        <v>37.040995599643701</v>
      </c>
      <c r="F133" s="6">
        <v>0.98589465534356902</v>
      </c>
      <c r="G133" s="6">
        <v>82.547987336050596</v>
      </c>
      <c r="H133" s="6">
        <v>85.022582816823402</v>
      </c>
      <c r="I133" t="str">
        <f t="shared" si="2"/>
        <v>earth</v>
      </c>
      <c r="J133" t="s">
        <v>980</v>
      </c>
    </row>
    <row r="134" spans="1:10" x14ac:dyDescent="0.2">
      <c r="A134" s="3" t="s">
        <v>793</v>
      </c>
      <c r="B134" s="6">
        <v>375.6337890625</v>
      </c>
      <c r="C134" s="6">
        <v>16.172666508947099</v>
      </c>
      <c r="D134" s="6">
        <v>30.3206709592043</v>
      </c>
      <c r="E134" s="6">
        <v>37.2488606603617</v>
      </c>
      <c r="F134" s="6">
        <v>0.98642785395633403</v>
      </c>
      <c r="G134" s="6">
        <v>82.968482151357094</v>
      </c>
      <c r="H134" s="6">
        <v>85.348779913960698</v>
      </c>
      <c r="I134" t="str">
        <f t="shared" si="2"/>
        <v>earth</v>
      </c>
      <c r="J134" t="s">
        <v>980</v>
      </c>
    </row>
    <row r="135" spans="1:10" x14ac:dyDescent="0.2">
      <c r="A135" s="3" t="s">
        <v>794</v>
      </c>
      <c r="B135" s="6">
        <v>391.630859375</v>
      </c>
      <c r="C135" s="6">
        <v>15.512056454629301</v>
      </c>
      <c r="D135" s="6">
        <v>30.5523809432019</v>
      </c>
      <c r="E135" s="6">
        <v>37.480349472543203</v>
      </c>
      <c r="F135" s="6">
        <v>0.98700714505849796</v>
      </c>
      <c r="G135" s="6">
        <v>83.435237034465302</v>
      </c>
      <c r="H135" s="6">
        <v>85.705248728638296</v>
      </c>
      <c r="I135" t="str">
        <f t="shared" si="2"/>
        <v>earth</v>
      </c>
      <c r="J135" t="s">
        <v>980</v>
      </c>
    </row>
    <row r="136" spans="1:10" x14ac:dyDescent="0.2">
      <c r="A136" s="3" t="s">
        <v>795</v>
      </c>
      <c r="B136" s="6">
        <v>410.0830078125</v>
      </c>
      <c r="C136" s="6">
        <v>14.8140739417753</v>
      </c>
      <c r="D136" s="6">
        <v>30.809357221426701</v>
      </c>
      <c r="E136" s="6">
        <v>37.737202786231201</v>
      </c>
      <c r="F136" s="6">
        <v>0.98757785389355401</v>
      </c>
      <c r="G136" s="6">
        <v>83.951479013079194</v>
      </c>
      <c r="H136" s="6">
        <v>86.058560748128201</v>
      </c>
      <c r="I136" t="str">
        <f t="shared" si="2"/>
        <v>earth</v>
      </c>
      <c r="J136" t="s">
        <v>980</v>
      </c>
    </row>
    <row r="137" spans="1:10" x14ac:dyDescent="0.2">
      <c r="A137" s="3" t="s">
        <v>796</v>
      </c>
      <c r="B137" s="6">
        <v>427.7041015625</v>
      </c>
      <c r="C137" s="6">
        <v>14.2037450139165</v>
      </c>
      <c r="D137" s="6">
        <v>31.0697980227391</v>
      </c>
      <c r="E137" s="6">
        <v>37.996871277976503</v>
      </c>
      <c r="F137" s="6">
        <v>0.988148120106635</v>
      </c>
      <c r="G137" s="6">
        <v>84.471839987147902</v>
      </c>
      <c r="H137" s="6">
        <v>86.413717661016804</v>
      </c>
      <c r="I137" t="str">
        <f t="shared" si="2"/>
        <v>earth</v>
      </c>
      <c r="J137" t="s">
        <v>980</v>
      </c>
    </row>
    <row r="138" spans="1:10" x14ac:dyDescent="0.2">
      <c r="A138" s="3" t="s">
        <v>797</v>
      </c>
      <c r="B138" s="6">
        <v>454.787109375</v>
      </c>
      <c r="C138" s="6">
        <v>13.3578983985467</v>
      </c>
      <c r="D138" s="6">
        <v>31.391865975879899</v>
      </c>
      <c r="E138" s="6">
        <v>38.318926642897402</v>
      </c>
      <c r="F138" s="6">
        <v>0.98883955136368296</v>
      </c>
      <c r="G138" s="6">
        <v>85.115383224885704</v>
      </c>
      <c r="H138" s="6">
        <v>86.847194573878397</v>
      </c>
      <c r="I138" t="str">
        <f t="shared" si="2"/>
        <v>earth</v>
      </c>
      <c r="J138" t="s">
        <v>980</v>
      </c>
    </row>
    <row r="139" spans="1:10" x14ac:dyDescent="0.2">
      <c r="A139" s="3" t="s">
        <v>798</v>
      </c>
      <c r="B139" s="6">
        <v>473.8544921875</v>
      </c>
      <c r="C139" s="6">
        <v>12.820391280781999</v>
      </c>
      <c r="D139" s="6">
        <v>31.708886045665199</v>
      </c>
      <c r="E139" s="6">
        <v>38.635646143844099</v>
      </c>
      <c r="F139" s="6">
        <v>0.98943766720656001</v>
      </c>
      <c r="G139" s="6">
        <v>85.7465876537524</v>
      </c>
      <c r="H139" s="6">
        <v>87.224714370050606</v>
      </c>
      <c r="I139" t="str">
        <f t="shared" si="2"/>
        <v>earth</v>
      </c>
      <c r="J139" t="s">
        <v>980</v>
      </c>
    </row>
    <row r="140" spans="1:10" x14ac:dyDescent="0.2">
      <c r="A140" s="3" t="s">
        <v>144</v>
      </c>
      <c r="B140" s="6">
        <v>510.1025390625</v>
      </c>
      <c r="C140" s="6">
        <v>11.9093702438044</v>
      </c>
      <c r="D140" s="6">
        <v>32.116724427640399</v>
      </c>
      <c r="E140" s="6">
        <v>39.043336985718703</v>
      </c>
      <c r="F140" s="6">
        <v>0.99020917775444595</v>
      </c>
      <c r="G140" s="6">
        <v>86.557081974684294</v>
      </c>
      <c r="H140" s="6">
        <v>87.715189674946302</v>
      </c>
      <c r="I140" t="str">
        <f t="shared" si="2"/>
        <v>earth</v>
      </c>
      <c r="J140" t="s">
        <v>980</v>
      </c>
    </row>
    <row r="141" spans="1:10" x14ac:dyDescent="0.2">
      <c r="A141" s="3" t="s">
        <v>145</v>
      </c>
      <c r="B141" s="6">
        <v>543.248046875</v>
      </c>
      <c r="C141" s="6">
        <v>11.1827369374746</v>
      </c>
      <c r="D141" s="6">
        <v>32.534002390841501</v>
      </c>
      <c r="E141" s="6">
        <v>39.460380232321903</v>
      </c>
      <c r="F141" s="6">
        <v>0.99091708169757398</v>
      </c>
      <c r="G141" s="6">
        <v>87.384278860849705</v>
      </c>
      <c r="H141" s="6">
        <v>88.168734463893102</v>
      </c>
      <c r="I141" t="str">
        <f t="shared" si="2"/>
        <v>earth</v>
      </c>
      <c r="J141" t="s">
        <v>980</v>
      </c>
    </row>
    <row r="142" spans="1:10" x14ac:dyDescent="0.2">
      <c r="A142" s="3" t="s">
        <v>146</v>
      </c>
      <c r="B142" s="6">
        <v>575.798828125</v>
      </c>
      <c r="C142" s="6">
        <v>10.550559854007201</v>
      </c>
      <c r="D142" s="6">
        <v>33.008778235176699</v>
      </c>
      <c r="E142" s="6">
        <v>39.934858136437803</v>
      </c>
      <c r="F142" s="6">
        <v>0.99162752525001197</v>
      </c>
      <c r="G142" s="6">
        <v>88.323576217474397</v>
      </c>
      <c r="H142" s="6">
        <v>88.627306202167802</v>
      </c>
      <c r="I142" t="str">
        <f t="shared" si="2"/>
        <v>earth</v>
      </c>
      <c r="J142" t="s">
        <v>980</v>
      </c>
    </row>
    <row r="143" spans="1:10" x14ac:dyDescent="0.2">
      <c r="A143" s="3" t="s">
        <v>147</v>
      </c>
      <c r="B143" s="6">
        <v>630.6455078125</v>
      </c>
      <c r="C143" s="6">
        <v>9.6329870343042003</v>
      </c>
      <c r="D143" s="6">
        <v>33.583654726473902</v>
      </c>
      <c r="E143" s="6">
        <v>40.509294188202396</v>
      </c>
      <c r="F143" s="6">
        <v>0.99244729021446099</v>
      </c>
      <c r="G143" s="6">
        <v>89.458786437543097</v>
      </c>
      <c r="H143" s="6">
        <v>89.160707854274506</v>
      </c>
      <c r="I143" t="str">
        <f t="shared" si="2"/>
        <v>earth</v>
      </c>
      <c r="J143" t="s">
        <v>980</v>
      </c>
    </row>
    <row r="144" spans="1:10" x14ac:dyDescent="0.2">
      <c r="A144" s="3" t="s">
        <v>148</v>
      </c>
      <c r="B144" s="6">
        <v>700.89453125</v>
      </c>
      <c r="C144" s="6">
        <v>8.6674952209509097</v>
      </c>
      <c r="D144" s="6">
        <v>34.274239248059402</v>
      </c>
      <c r="E144" s="6">
        <v>41.1995524051774</v>
      </c>
      <c r="F144" s="6">
        <v>0.993319777937548</v>
      </c>
      <c r="G144" s="6">
        <v>90.820827467147595</v>
      </c>
      <c r="H144" s="6">
        <v>89.733478765494496</v>
      </c>
      <c r="I144" t="str">
        <f t="shared" si="2"/>
        <v>earth</v>
      </c>
      <c r="J144" t="s">
        <v>980</v>
      </c>
    </row>
    <row r="145" spans="1:10" x14ac:dyDescent="0.2">
      <c r="A145" s="3" t="s">
        <v>149</v>
      </c>
      <c r="B145" s="6">
        <v>783.40625</v>
      </c>
      <c r="C145" s="6">
        <v>7.75459731142048</v>
      </c>
      <c r="D145" s="6">
        <v>35.075490224216999</v>
      </c>
      <c r="E145" s="6">
        <v>42.0004541919498</v>
      </c>
      <c r="F145" s="6">
        <v>0.99421655357531002</v>
      </c>
      <c r="G145" s="6">
        <v>92.399281809614195</v>
      </c>
      <c r="H145" s="6">
        <v>90.327685646730501</v>
      </c>
      <c r="I145" t="str">
        <f t="shared" si="2"/>
        <v>earth</v>
      </c>
      <c r="J145" t="s">
        <v>980</v>
      </c>
    </row>
    <row r="146" spans="1:10" hidden="1" x14ac:dyDescent="0.2">
      <c r="A146" s="3" t="s">
        <v>799</v>
      </c>
      <c r="B146" s="6">
        <v>150.724609375</v>
      </c>
      <c r="C146" s="6">
        <v>40.3052960308924</v>
      </c>
      <c r="D146" s="6">
        <v>36.295667333436498</v>
      </c>
      <c r="E146" s="6">
        <v>42.2096427920441</v>
      </c>
      <c r="F146" s="6">
        <v>0.98574530580296704</v>
      </c>
      <c r="G146" s="6">
        <v>92.811317028595397</v>
      </c>
      <c r="H146" s="6">
        <v>84.931541155859605</v>
      </c>
      <c r="I146" t="str">
        <f t="shared" si="2"/>
        <v>flower</v>
      </c>
      <c r="J146" t="s">
        <v>980</v>
      </c>
    </row>
    <row r="147" spans="1:10" hidden="1" x14ac:dyDescent="0.2">
      <c r="A147" s="3" t="s">
        <v>800</v>
      </c>
      <c r="B147" s="6">
        <v>157.7919921875</v>
      </c>
      <c r="C147" s="6">
        <v>38.500052605846101</v>
      </c>
      <c r="D147" s="6">
        <v>36.362521653026498</v>
      </c>
      <c r="E147" s="6">
        <v>42.2747605732742</v>
      </c>
      <c r="F147" s="6">
        <v>0.98590779982496302</v>
      </c>
      <c r="G147" s="6">
        <v>92.939561755731205</v>
      </c>
      <c r="H147" s="6">
        <v>85.030602361463494</v>
      </c>
      <c r="I147" t="str">
        <f t="shared" si="2"/>
        <v>flower</v>
      </c>
      <c r="J147" t="s">
        <v>980</v>
      </c>
    </row>
    <row r="148" spans="1:10" hidden="1" x14ac:dyDescent="0.2">
      <c r="A148" s="3" t="s">
        <v>801</v>
      </c>
      <c r="B148" s="6">
        <v>164.6640625</v>
      </c>
      <c r="C148" s="6">
        <v>36.8932960098686</v>
      </c>
      <c r="D148" s="6">
        <v>36.429863060308101</v>
      </c>
      <c r="E148" s="6">
        <v>42.342721766817398</v>
      </c>
      <c r="F148" s="6">
        <v>0.98607239735792496</v>
      </c>
      <c r="G148" s="6">
        <v>93.073398476332699</v>
      </c>
      <c r="H148" s="6">
        <v>85.131118170574794</v>
      </c>
      <c r="I148" t="str">
        <f t="shared" si="2"/>
        <v>flower</v>
      </c>
      <c r="J148" t="s">
        <v>980</v>
      </c>
    </row>
    <row r="149" spans="1:10" hidden="1" x14ac:dyDescent="0.2">
      <c r="A149" s="3" t="s">
        <v>802</v>
      </c>
      <c r="B149" s="6">
        <v>176.0556640625</v>
      </c>
      <c r="C149" s="6">
        <v>34.506132093786903</v>
      </c>
      <c r="D149" s="6">
        <v>36.502884027074302</v>
      </c>
      <c r="E149" s="6">
        <v>42.415755890038596</v>
      </c>
      <c r="F149" s="6">
        <v>0.986253353413169</v>
      </c>
      <c r="G149" s="6">
        <v>93.217216722852797</v>
      </c>
      <c r="H149" s="6">
        <v>85.241824148962905</v>
      </c>
      <c r="I149" t="str">
        <f t="shared" si="2"/>
        <v>flower</v>
      </c>
      <c r="J149" t="s">
        <v>980</v>
      </c>
    </row>
    <row r="150" spans="1:10" hidden="1" x14ac:dyDescent="0.2">
      <c r="A150" s="3" t="s">
        <v>803</v>
      </c>
      <c r="B150" s="6">
        <v>183.568359375</v>
      </c>
      <c r="C150" s="6">
        <v>33.093938523412803</v>
      </c>
      <c r="D150" s="6">
        <v>36.5952143995612</v>
      </c>
      <c r="E150" s="6">
        <v>42.510126595778999</v>
      </c>
      <c r="F150" s="6">
        <v>0.98649358866054904</v>
      </c>
      <c r="G150" s="6">
        <v>93.403038115674605</v>
      </c>
      <c r="H150" s="6">
        <v>85.389121146759393</v>
      </c>
      <c r="I150" t="str">
        <f t="shared" si="2"/>
        <v>flower</v>
      </c>
      <c r="J150" t="s">
        <v>980</v>
      </c>
    </row>
    <row r="151" spans="1:10" hidden="1" x14ac:dyDescent="0.2">
      <c r="A151" s="3" t="s">
        <v>804</v>
      </c>
      <c r="B151" s="6">
        <v>192.9912109375</v>
      </c>
      <c r="C151" s="6">
        <v>31.478117425603301</v>
      </c>
      <c r="D151" s="6">
        <v>36.6837687987191</v>
      </c>
      <c r="E151" s="6">
        <v>42.598779813167603</v>
      </c>
      <c r="F151" s="6">
        <v>0.98673852851328003</v>
      </c>
      <c r="G151" s="6">
        <v>93.577589024891097</v>
      </c>
      <c r="H151" s="6">
        <v>85.539685282486303</v>
      </c>
      <c r="I151" t="str">
        <f t="shared" si="2"/>
        <v>flower</v>
      </c>
      <c r="J151" t="s">
        <v>980</v>
      </c>
    </row>
    <row r="152" spans="1:10" hidden="1" x14ac:dyDescent="0.2">
      <c r="A152" s="3" t="s">
        <v>805</v>
      </c>
      <c r="B152" s="6">
        <v>206.123046875</v>
      </c>
      <c r="C152" s="6">
        <v>29.472686786374201</v>
      </c>
      <c r="D152" s="6">
        <v>36.769948253123601</v>
      </c>
      <c r="E152" s="6">
        <v>42.6850578752072</v>
      </c>
      <c r="F152" s="6">
        <v>0.98693108477113001</v>
      </c>
      <c r="G152" s="6">
        <v>93.747452473294501</v>
      </c>
      <c r="H152" s="6">
        <v>85.658321157984105</v>
      </c>
      <c r="I152" t="str">
        <f t="shared" si="2"/>
        <v>flower</v>
      </c>
      <c r="J152" t="s">
        <v>980</v>
      </c>
    </row>
    <row r="153" spans="1:10" hidden="1" x14ac:dyDescent="0.2">
      <c r="A153" s="3" t="s">
        <v>806</v>
      </c>
      <c r="B153" s="6">
        <v>216.6181640625</v>
      </c>
      <c r="C153" s="6">
        <v>28.0447395826289</v>
      </c>
      <c r="D153" s="6">
        <v>36.822454955196697</v>
      </c>
      <c r="E153" s="6">
        <v>42.7335193748265</v>
      </c>
      <c r="F153" s="6">
        <v>0.98706850110523603</v>
      </c>
      <c r="G153" s="6">
        <v>93.842858473592798</v>
      </c>
      <c r="H153" s="6">
        <v>85.743131386777094</v>
      </c>
      <c r="I153" t="str">
        <f t="shared" si="2"/>
        <v>flower</v>
      </c>
      <c r="J153" t="s">
        <v>980</v>
      </c>
    </row>
    <row r="154" spans="1:10" hidden="1" x14ac:dyDescent="0.2">
      <c r="A154" s="3" t="s">
        <v>807</v>
      </c>
      <c r="B154" s="6">
        <v>236.0703125</v>
      </c>
      <c r="C154" s="6">
        <v>25.7338584240659</v>
      </c>
      <c r="D154" s="6">
        <v>36.9458231490445</v>
      </c>
      <c r="E154" s="6">
        <v>42.858727144773802</v>
      </c>
      <c r="F154" s="6">
        <v>0.98738284973533597</v>
      </c>
      <c r="G154" s="6">
        <v>94.089340185899204</v>
      </c>
      <c r="H154" s="6">
        <v>85.937600454421499</v>
      </c>
      <c r="I154" t="str">
        <f t="shared" si="2"/>
        <v>flower</v>
      </c>
      <c r="J154" t="s">
        <v>980</v>
      </c>
    </row>
    <row r="155" spans="1:10" hidden="1" x14ac:dyDescent="0.2">
      <c r="A155" s="3" t="s">
        <v>808</v>
      </c>
      <c r="B155" s="6">
        <v>248.5205078125</v>
      </c>
      <c r="C155" s="6">
        <v>24.444662750260299</v>
      </c>
      <c r="D155" s="6">
        <v>37.015002767514297</v>
      </c>
      <c r="E155" s="6">
        <v>42.927923282608099</v>
      </c>
      <c r="F155" s="6">
        <v>0.98753858250579796</v>
      </c>
      <c r="G155" s="6">
        <v>94.225549906600605</v>
      </c>
      <c r="H155" s="6">
        <v>86.034180964480996</v>
      </c>
      <c r="I155" t="str">
        <f t="shared" si="2"/>
        <v>flower</v>
      </c>
      <c r="J155" t="s">
        <v>980</v>
      </c>
    </row>
    <row r="156" spans="1:10" hidden="1" x14ac:dyDescent="0.2">
      <c r="A156" s="3" t="s">
        <v>220</v>
      </c>
      <c r="B156" s="6">
        <v>273.0517578125</v>
      </c>
      <c r="C156" s="6">
        <v>22.248529175086301</v>
      </c>
      <c r="D156" s="6">
        <v>37.173042223928</v>
      </c>
      <c r="E156" s="6">
        <v>43.088503171700502</v>
      </c>
      <c r="F156" s="6">
        <v>0.987906616639602</v>
      </c>
      <c r="G156" s="6">
        <v>94.541622885009204</v>
      </c>
      <c r="H156" s="6">
        <v>86.26305198355</v>
      </c>
      <c r="I156" t="str">
        <f t="shared" si="2"/>
        <v>flower</v>
      </c>
      <c r="J156" t="s">
        <v>980</v>
      </c>
    </row>
    <row r="157" spans="1:10" hidden="1" x14ac:dyDescent="0.2">
      <c r="A157" s="3" t="s">
        <v>221</v>
      </c>
      <c r="B157" s="6">
        <v>299.5146484375</v>
      </c>
      <c r="C157" s="6">
        <v>20.2828143187383</v>
      </c>
      <c r="D157" s="6">
        <v>37.3202210205868</v>
      </c>
      <c r="E157" s="6">
        <v>43.236093567607597</v>
      </c>
      <c r="F157" s="6">
        <v>0.98827542331502105</v>
      </c>
      <c r="G157" s="6">
        <v>94.832103265803198</v>
      </c>
      <c r="H157" s="6">
        <v>86.493291502157703</v>
      </c>
      <c r="I157" t="str">
        <f t="shared" si="2"/>
        <v>flower</v>
      </c>
      <c r="J157" t="s">
        <v>980</v>
      </c>
    </row>
    <row r="158" spans="1:10" hidden="1" x14ac:dyDescent="0.2">
      <c r="A158" s="3" t="s">
        <v>222</v>
      </c>
      <c r="B158" s="6">
        <v>316.095703125</v>
      </c>
      <c r="C158" s="6">
        <v>19.218862958088501</v>
      </c>
      <c r="D158" s="6">
        <v>37.417749139838598</v>
      </c>
      <c r="E158" s="6">
        <v>43.3336240695971</v>
      </c>
      <c r="F158" s="6">
        <v>0.988491336682632</v>
      </c>
      <c r="G158" s="6">
        <v>95.024045943036697</v>
      </c>
      <c r="H158" s="6">
        <v>86.628496390075995</v>
      </c>
      <c r="I158" t="str">
        <f t="shared" si="2"/>
        <v>flower</v>
      </c>
      <c r="J158" t="s">
        <v>980</v>
      </c>
    </row>
    <row r="159" spans="1:10" hidden="1" x14ac:dyDescent="0.2">
      <c r="A159" s="3" t="s">
        <v>223</v>
      </c>
      <c r="B159" s="6">
        <v>361.1748046875</v>
      </c>
      <c r="C159" s="6">
        <v>16.820110154849498</v>
      </c>
      <c r="D159" s="6">
        <v>37.616116455335302</v>
      </c>
      <c r="E159" s="6">
        <v>43.531579307331398</v>
      </c>
      <c r="F159" s="6">
        <v>0.98895860377515898</v>
      </c>
      <c r="G159" s="6">
        <v>95.413599764493199</v>
      </c>
      <c r="H159" s="6">
        <v>86.922149564106306</v>
      </c>
      <c r="I159" t="str">
        <f t="shared" si="2"/>
        <v>flower</v>
      </c>
      <c r="J159" t="s">
        <v>980</v>
      </c>
    </row>
    <row r="160" spans="1:10" hidden="1" x14ac:dyDescent="0.2">
      <c r="A160" s="3" t="s">
        <v>224</v>
      </c>
      <c r="B160" s="6">
        <v>423.8349609375</v>
      </c>
      <c r="C160" s="6">
        <v>14.3334093689733</v>
      </c>
      <c r="D160" s="6">
        <v>37.877236230801401</v>
      </c>
      <c r="E160" s="6">
        <v>43.7930456135526</v>
      </c>
      <c r="F160" s="6">
        <v>0.98954123229249003</v>
      </c>
      <c r="G160" s="6">
        <v>95.928085498004293</v>
      </c>
      <c r="H160" s="6">
        <v>87.290323712007904</v>
      </c>
      <c r="I160" t="str">
        <f t="shared" si="2"/>
        <v>flower</v>
      </c>
      <c r="J160" t="s">
        <v>980</v>
      </c>
    </row>
    <row r="161" spans="1:10" hidden="1" x14ac:dyDescent="0.2">
      <c r="A161" s="3" t="s">
        <v>225</v>
      </c>
      <c r="B161" s="6">
        <v>493.8525390625</v>
      </c>
      <c r="C161" s="6">
        <v>12.3012428194303</v>
      </c>
      <c r="D161" s="6">
        <v>38.221078016162103</v>
      </c>
      <c r="E161" s="6">
        <v>44.136879027539699</v>
      </c>
      <c r="F161" s="6">
        <v>0.99028739122488496</v>
      </c>
      <c r="G161" s="6">
        <v>96.604568885871998</v>
      </c>
      <c r="H161" s="6">
        <v>87.765134634505301</v>
      </c>
      <c r="I161" t="str">
        <f t="shared" si="2"/>
        <v>flower</v>
      </c>
      <c r="J161" t="s">
        <v>980</v>
      </c>
    </row>
    <row r="162" spans="1:10" hidden="1" x14ac:dyDescent="0.2">
      <c r="A162" s="3" t="s">
        <v>809</v>
      </c>
      <c r="B162" s="6">
        <v>279.2041015625</v>
      </c>
      <c r="C162" s="6">
        <v>21.758276350536001</v>
      </c>
      <c r="D162" s="6">
        <v>30.488701210872399</v>
      </c>
      <c r="E162" s="6">
        <v>38.032331311042398</v>
      </c>
      <c r="F162" s="6">
        <v>0.96460757152252996</v>
      </c>
      <c r="G162" s="6">
        <v>84.542791731568897</v>
      </c>
      <c r="H162" s="6">
        <v>73.381300945736896</v>
      </c>
      <c r="I162" t="str">
        <f t="shared" si="2"/>
        <v>kitchen</v>
      </c>
      <c r="J162" t="s">
        <v>980</v>
      </c>
    </row>
    <row r="163" spans="1:10" hidden="1" x14ac:dyDescent="0.2">
      <c r="A163" s="3" t="s">
        <v>810</v>
      </c>
      <c r="B163" s="6">
        <v>292.6953125</v>
      </c>
      <c r="C163" s="6">
        <v>20.755371680234902</v>
      </c>
      <c r="D163" s="6">
        <v>30.606558762662601</v>
      </c>
      <c r="E163" s="6">
        <v>38.1499185325805</v>
      </c>
      <c r="F163" s="6">
        <v>0.96542429782772299</v>
      </c>
      <c r="G163" s="6">
        <v>84.777899202301199</v>
      </c>
      <c r="H163" s="6">
        <v>73.781833756858802</v>
      </c>
      <c r="I163" t="str">
        <f t="shared" si="2"/>
        <v>kitchen</v>
      </c>
      <c r="J163" t="s">
        <v>980</v>
      </c>
    </row>
    <row r="164" spans="1:10" hidden="1" x14ac:dyDescent="0.2">
      <c r="A164" s="3" t="s">
        <v>811</v>
      </c>
      <c r="B164" s="6">
        <v>303.02734375</v>
      </c>
      <c r="C164" s="6">
        <v>20.047695778279099</v>
      </c>
      <c r="D164" s="6">
        <v>30.680513579632599</v>
      </c>
      <c r="E164" s="6">
        <v>38.224107399438601</v>
      </c>
      <c r="F164" s="6">
        <v>0.96587557431479298</v>
      </c>
      <c r="G164" s="6">
        <v>84.926104365079496</v>
      </c>
      <c r="H164" s="6">
        <v>74.0046113642763</v>
      </c>
      <c r="I164" t="str">
        <f t="shared" si="2"/>
        <v>kitchen</v>
      </c>
      <c r="J164" t="s">
        <v>980</v>
      </c>
    </row>
    <row r="165" spans="1:10" hidden="1" x14ac:dyDescent="0.2">
      <c r="A165" s="3" t="s">
        <v>812</v>
      </c>
      <c r="B165" s="6">
        <v>317.958984375</v>
      </c>
      <c r="C165" s="6">
        <v>19.1062379065696</v>
      </c>
      <c r="D165" s="6">
        <v>30.7896287659912</v>
      </c>
      <c r="E165" s="6">
        <v>38.333395300233299</v>
      </c>
      <c r="F165" s="6">
        <v>0.966592169466303</v>
      </c>
      <c r="G165" s="6">
        <v>85.144252408237094</v>
      </c>
      <c r="H165" s="6">
        <v>74.360525984542605</v>
      </c>
      <c r="I165" t="str">
        <f t="shared" si="2"/>
        <v>kitchen</v>
      </c>
      <c r="J165" t="s">
        <v>980</v>
      </c>
    </row>
    <row r="166" spans="1:10" hidden="1" x14ac:dyDescent="0.2">
      <c r="A166" s="3" t="s">
        <v>813</v>
      </c>
      <c r="B166" s="6">
        <v>329.76171875</v>
      </c>
      <c r="C166" s="6">
        <v>18.422393063173001</v>
      </c>
      <c r="D166" s="6">
        <v>30.889180117866399</v>
      </c>
      <c r="E166" s="6">
        <v>38.434538537258597</v>
      </c>
      <c r="F166" s="6">
        <v>0.967305370966557</v>
      </c>
      <c r="G166" s="6">
        <v>85.345968394891898</v>
      </c>
      <c r="H166" s="6">
        <v>74.717404437086103</v>
      </c>
      <c r="I166" t="str">
        <f t="shared" si="2"/>
        <v>kitchen</v>
      </c>
      <c r="J166" t="s">
        <v>980</v>
      </c>
    </row>
    <row r="167" spans="1:10" hidden="1" x14ac:dyDescent="0.2">
      <c r="A167" s="3" t="s">
        <v>814</v>
      </c>
      <c r="B167" s="6">
        <v>343.9248046875</v>
      </c>
      <c r="C167" s="6">
        <v>17.663744857018699</v>
      </c>
      <c r="D167" s="6">
        <v>30.994654793423901</v>
      </c>
      <c r="E167" s="6">
        <v>38.539903858211702</v>
      </c>
      <c r="F167" s="6">
        <v>0.96793139137283901</v>
      </c>
      <c r="G167" s="6">
        <v>85.555936538401099</v>
      </c>
      <c r="H167" s="6">
        <v>75.032852897821599</v>
      </c>
      <c r="I167" t="str">
        <f t="shared" si="2"/>
        <v>kitchen</v>
      </c>
      <c r="J167" t="s">
        <v>980</v>
      </c>
    </row>
    <row r="168" spans="1:10" hidden="1" x14ac:dyDescent="0.2">
      <c r="A168" s="3" t="s">
        <v>815</v>
      </c>
      <c r="B168" s="6">
        <v>365.0361328125</v>
      </c>
      <c r="C168" s="6">
        <v>16.642188139551699</v>
      </c>
      <c r="D168" s="6">
        <v>31.128559863878198</v>
      </c>
      <c r="E168" s="6">
        <v>38.673609477863202</v>
      </c>
      <c r="F168" s="6">
        <v>0.96879547989880799</v>
      </c>
      <c r="G168" s="6">
        <v>85.822148417128503</v>
      </c>
      <c r="H168" s="6">
        <v>75.471660005731096</v>
      </c>
      <c r="I168" t="str">
        <f t="shared" si="2"/>
        <v>kitchen</v>
      </c>
      <c r="J168" t="s">
        <v>980</v>
      </c>
    </row>
    <row r="169" spans="1:10" hidden="1" x14ac:dyDescent="0.2">
      <c r="A169" s="3" t="s">
        <v>816</v>
      </c>
      <c r="B169" s="6">
        <v>382.177734375</v>
      </c>
      <c r="C169" s="6">
        <v>15.895745496358799</v>
      </c>
      <c r="D169" s="6">
        <v>31.2508122705453</v>
      </c>
      <c r="E169" s="6">
        <v>38.792494314720003</v>
      </c>
      <c r="F169" s="6">
        <v>0.96951222092801204</v>
      </c>
      <c r="G169" s="6">
        <v>86.058648139880603</v>
      </c>
      <c r="H169" s="6">
        <v>75.838653719964896</v>
      </c>
      <c r="I169" t="str">
        <f t="shared" si="2"/>
        <v>kitchen</v>
      </c>
      <c r="J169" t="s">
        <v>980</v>
      </c>
    </row>
    <row r="170" spans="1:10" hidden="1" x14ac:dyDescent="0.2">
      <c r="A170" s="3" t="s">
        <v>817</v>
      </c>
      <c r="B170" s="6">
        <v>412.4443359375</v>
      </c>
      <c r="C170" s="6">
        <v>14.729260340528899</v>
      </c>
      <c r="D170" s="6">
        <v>31.428564585506699</v>
      </c>
      <c r="E170" s="6">
        <v>38.970860776784598</v>
      </c>
      <c r="F170" s="6">
        <v>0.97064461423703896</v>
      </c>
      <c r="G170" s="6">
        <v>86.413144355293397</v>
      </c>
      <c r="H170" s="6">
        <v>76.424098611801398</v>
      </c>
      <c r="I170" t="str">
        <f t="shared" si="2"/>
        <v>kitchen</v>
      </c>
      <c r="J170" t="s">
        <v>980</v>
      </c>
    </row>
    <row r="171" spans="1:10" hidden="1" x14ac:dyDescent="0.2">
      <c r="A171" s="3" t="s">
        <v>818</v>
      </c>
      <c r="B171" s="6">
        <v>436.029296875</v>
      </c>
      <c r="C171" s="6">
        <v>13.9325500454653</v>
      </c>
      <c r="D171" s="6">
        <v>31.5977397447035</v>
      </c>
      <c r="E171" s="6">
        <v>39.139862511684903</v>
      </c>
      <c r="F171" s="6">
        <v>0.97170286590490396</v>
      </c>
      <c r="G171" s="6">
        <v>86.748692482692306</v>
      </c>
      <c r="H171" s="6">
        <v>76.977505007161696</v>
      </c>
      <c r="I171" t="str">
        <f t="shared" si="2"/>
        <v>kitchen</v>
      </c>
      <c r="J171" t="s">
        <v>980</v>
      </c>
    </row>
    <row r="172" spans="1:10" hidden="1" x14ac:dyDescent="0.2">
      <c r="A172" s="3" t="s">
        <v>819</v>
      </c>
      <c r="B172" s="6">
        <v>475.962890625</v>
      </c>
      <c r="C172" s="6">
        <v>12.7636001034088</v>
      </c>
      <c r="D172" s="6">
        <v>31.847460623821899</v>
      </c>
      <c r="E172" s="6">
        <v>39.392059611694997</v>
      </c>
      <c r="F172" s="6">
        <v>0.97322526428982103</v>
      </c>
      <c r="G172" s="6">
        <v>87.248879420306395</v>
      </c>
      <c r="H172" s="6">
        <v>77.7844422778401</v>
      </c>
      <c r="I172" t="str">
        <f t="shared" si="2"/>
        <v>kitchen</v>
      </c>
      <c r="J172" t="s">
        <v>980</v>
      </c>
    </row>
    <row r="173" spans="1:10" hidden="1" x14ac:dyDescent="0.2">
      <c r="A173" s="3" t="s">
        <v>820</v>
      </c>
      <c r="B173" s="6">
        <v>515.900390625</v>
      </c>
      <c r="C173" s="6">
        <v>11.7755289788408</v>
      </c>
      <c r="D173" s="6">
        <v>32.130734349703197</v>
      </c>
      <c r="E173" s="6">
        <v>39.675278647897102</v>
      </c>
      <c r="F173" s="6">
        <v>0.974845673295759</v>
      </c>
      <c r="G173" s="6">
        <v>87.809913401333105</v>
      </c>
      <c r="H173" s="6">
        <v>78.657553312815295</v>
      </c>
      <c r="I173" t="str">
        <f t="shared" si="2"/>
        <v>kitchen</v>
      </c>
      <c r="J173" t="s">
        <v>980</v>
      </c>
    </row>
    <row r="174" spans="1:10" hidden="1" x14ac:dyDescent="0.2">
      <c r="A174" s="3" t="s">
        <v>821</v>
      </c>
      <c r="B174" s="6">
        <v>555.5205078125</v>
      </c>
      <c r="C174" s="6">
        <v>10.935689888248801</v>
      </c>
      <c r="D174" s="6">
        <v>32.474161695417699</v>
      </c>
      <c r="E174" s="6">
        <v>40.018324154548601</v>
      </c>
      <c r="F174" s="6">
        <v>0.97668491025845094</v>
      </c>
      <c r="G174" s="6">
        <v>88.488643068253793</v>
      </c>
      <c r="H174" s="6">
        <v>79.666667644626799</v>
      </c>
      <c r="I174" t="str">
        <f t="shared" si="2"/>
        <v>kitchen</v>
      </c>
      <c r="J174" t="s">
        <v>980</v>
      </c>
    </row>
    <row r="175" spans="1:10" hidden="1" x14ac:dyDescent="0.2">
      <c r="A175" s="3" t="s">
        <v>822</v>
      </c>
      <c r="B175" s="6">
        <v>618.1259765625</v>
      </c>
      <c r="C175" s="6">
        <v>9.8280936740178308</v>
      </c>
      <c r="D175" s="6">
        <v>32.962515065452401</v>
      </c>
      <c r="E175" s="6">
        <v>40.505450646069903</v>
      </c>
      <c r="F175" s="6">
        <v>0.97908045624991602</v>
      </c>
      <c r="G175" s="6">
        <v>89.451196618408403</v>
      </c>
      <c r="H175" s="6">
        <v>81.010467020221498</v>
      </c>
      <c r="I175" t="str">
        <f t="shared" si="2"/>
        <v>kitchen</v>
      </c>
      <c r="J175" t="s">
        <v>980</v>
      </c>
    </row>
    <row r="176" spans="1:10" hidden="1" x14ac:dyDescent="0.2">
      <c r="A176" s="3" t="s">
        <v>823</v>
      </c>
      <c r="B176" s="6">
        <v>700.7734375</v>
      </c>
      <c r="C176" s="6">
        <v>8.6689929653619302</v>
      </c>
      <c r="D176" s="6">
        <v>33.6517937176014</v>
      </c>
      <c r="E176" s="6">
        <v>41.194901346582903</v>
      </c>
      <c r="F176" s="6">
        <v>0.98201374071018799</v>
      </c>
      <c r="G176" s="6">
        <v>90.811655725663599</v>
      </c>
      <c r="H176" s="6">
        <v>82.702491240543395</v>
      </c>
      <c r="I176" t="str">
        <f t="shared" si="2"/>
        <v>kitchen</v>
      </c>
      <c r="J176" t="s">
        <v>980</v>
      </c>
    </row>
    <row r="177" spans="1:10" hidden="1" x14ac:dyDescent="0.2">
      <c r="A177" s="3" t="s">
        <v>824</v>
      </c>
      <c r="B177" s="6">
        <v>788.3798828125</v>
      </c>
      <c r="C177" s="6">
        <v>7.7056760737321</v>
      </c>
      <c r="D177" s="6">
        <v>34.529116641473898</v>
      </c>
      <c r="E177" s="6">
        <v>42.072261812536503</v>
      </c>
      <c r="F177" s="6">
        <v>0.98514725304967798</v>
      </c>
      <c r="G177" s="6">
        <v>92.540729612385604</v>
      </c>
      <c r="H177" s="6">
        <v>84.568400726131102</v>
      </c>
      <c r="I177" t="str">
        <f t="shared" si="2"/>
        <v>kitchen</v>
      </c>
      <c r="J177" t="s">
        <v>980</v>
      </c>
    </row>
    <row r="178" spans="1:10" hidden="1" x14ac:dyDescent="0.2">
      <c r="A178" s="3" t="s">
        <v>825</v>
      </c>
      <c r="B178" s="6">
        <v>252.458984375</v>
      </c>
      <c r="C178" s="6">
        <v>24.0633147401728</v>
      </c>
      <c r="D178" s="6">
        <v>33.022816184590802</v>
      </c>
      <c r="E178" s="6">
        <v>41.064926921273504</v>
      </c>
      <c r="F178" s="6">
        <v>0.98485387039500905</v>
      </c>
      <c r="G178" s="6">
        <v>90.555321292580501</v>
      </c>
      <c r="H178" s="6">
        <v>84.391088238843594</v>
      </c>
      <c r="I178" t="str">
        <f t="shared" si="2"/>
        <v>lemon</v>
      </c>
      <c r="J178" t="s">
        <v>980</v>
      </c>
    </row>
    <row r="179" spans="1:10" hidden="1" x14ac:dyDescent="0.2">
      <c r="A179" s="3" t="s">
        <v>826</v>
      </c>
      <c r="B179" s="6">
        <v>263.15625</v>
      </c>
      <c r="C179" s="6">
        <v>23.085144282151798</v>
      </c>
      <c r="D179" s="6">
        <v>33.199668909747203</v>
      </c>
      <c r="E179" s="6">
        <v>41.240403018130301</v>
      </c>
      <c r="F179" s="6">
        <v>0.98530940963314395</v>
      </c>
      <c r="G179" s="6">
        <v>90.901380618904398</v>
      </c>
      <c r="H179" s="6">
        <v>84.666638051681701</v>
      </c>
      <c r="I179" t="str">
        <f t="shared" si="2"/>
        <v>lemon</v>
      </c>
      <c r="J179" t="s">
        <v>980</v>
      </c>
    </row>
    <row r="180" spans="1:10" hidden="1" x14ac:dyDescent="0.2">
      <c r="A180" s="3" t="s">
        <v>827</v>
      </c>
      <c r="B180" s="6">
        <v>271.720703125</v>
      </c>
      <c r="C180" s="6">
        <v>22.357516119061799</v>
      </c>
      <c r="D180" s="6">
        <v>33.330910201477302</v>
      </c>
      <c r="E180" s="6">
        <v>41.372022889653302</v>
      </c>
      <c r="F180" s="6">
        <v>0.98561898204736997</v>
      </c>
      <c r="G180" s="6">
        <v>91.160886160299</v>
      </c>
      <c r="H180" s="6">
        <v>84.854646958023096</v>
      </c>
      <c r="I180" t="str">
        <f t="shared" si="2"/>
        <v>lemon</v>
      </c>
      <c r="J180" t="s">
        <v>980</v>
      </c>
    </row>
    <row r="181" spans="1:10" hidden="1" x14ac:dyDescent="0.2">
      <c r="A181" s="3" t="s">
        <v>828</v>
      </c>
      <c r="B181" s="6">
        <v>285.1416015625</v>
      </c>
      <c r="C181" s="6">
        <v>21.305204034453801</v>
      </c>
      <c r="D181" s="6">
        <v>33.508001475259</v>
      </c>
      <c r="E181" s="6">
        <v>41.549338083121597</v>
      </c>
      <c r="F181" s="6">
        <v>0.986088502926316</v>
      </c>
      <c r="G181" s="6">
        <v>91.510406552998106</v>
      </c>
      <c r="H181" s="6">
        <v>85.140962781257002</v>
      </c>
      <c r="I181" t="str">
        <f t="shared" si="2"/>
        <v>lemon</v>
      </c>
      <c r="J181" t="s">
        <v>980</v>
      </c>
    </row>
    <row r="182" spans="1:10" hidden="1" x14ac:dyDescent="0.2">
      <c r="A182" s="3" t="s">
        <v>829</v>
      </c>
      <c r="B182" s="6">
        <v>294.828125</v>
      </c>
      <c r="C182" s="6">
        <v>20.6052255021464</v>
      </c>
      <c r="D182" s="6">
        <v>33.683067744567303</v>
      </c>
      <c r="E182" s="6">
        <v>41.726303490003403</v>
      </c>
      <c r="F182" s="6">
        <v>0.98649946610877104</v>
      </c>
      <c r="G182" s="6">
        <v>91.859154595775607</v>
      </c>
      <c r="H182" s="6">
        <v>85.392729477523503</v>
      </c>
      <c r="I182" t="str">
        <f t="shared" si="2"/>
        <v>lemon</v>
      </c>
      <c r="J182" t="s">
        <v>980</v>
      </c>
    </row>
    <row r="183" spans="1:10" hidden="1" x14ac:dyDescent="0.2">
      <c r="A183" s="3" t="s">
        <v>830</v>
      </c>
      <c r="B183" s="6">
        <v>305.9033203125</v>
      </c>
      <c r="C183" s="6">
        <v>19.859215629938198</v>
      </c>
      <c r="D183" s="6">
        <v>33.871538887751598</v>
      </c>
      <c r="E183" s="6">
        <v>41.914852844609598</v>
      </c>
      <c r="F183" s="6">
        <v>0.98695738577395098</v>
      </c>
      <c r="G183" s="6">
        <v>92.230649100367003</v>
      </c>
      <c r="H183" s="6">
        <v>85.674544080008204</v>
      </c>
      <c r="I183" t="str">
        <f t="shared" si="2"/>
        <v>lemon</v>
      </c>
      <c r="J183" t="s">
        <v>980</v>
      </c>
    </row>
    <row r="184" spans="1:10" hidden="1" x14ac:dyDescent="0.2">
      <c r="A184" s="3" t="s">
        <v>831</v>
      </c>
      <c r="B184" s="6">
        <v>321.6533203125</v>
      </c>
      <c r="C184" s="6">
        <v>18.8867939995082</v>
      </c>
      <c r="D184" s="6">
        <v>34.080844166919903</v>
      </c>
      <c r="E184" s="6">
        <v>42.1242084565054</v>
      </c>
      <c r="F184" s="6">
        <v>0.98743676728916097</v>
      </c>
      <c r="G184" s="6">
        <v>92.643048616594996</v>
      </c>
      <c r="H184" s="6">
        <v>85.971020552575098</v>
      </c>
      <c r="I184" t="str">
        <f t="shared" si="2"/>
        <v>lemon</v>
      </c>
      <c r="J184" t="s">
        <v>980</v>
      </c>
    </row>
    <row r="185" spans="1:10" hidden="1" x14ac:dyDescent="0.2">
      <c r="A185" s="3" t="s">
        <v>832</v>
      </c>
      <c r="B185" s="6">
        <v>333.80078125</v>
      </c>
      <c r="C185" s="6">
        <v>18.199478075667301</v>
      </c>
      <c r="D185" s="6">
        <v>34.245300901814602</v>
      </c>
      <c r="E185" s="6">
        <v>42.285483424681097</v>
      </c>
      <c r="F185" s="6">
        <v>0.98770559290611204</v>
      </c>
      <c r="G185" s="6">
        <v>92.960678912510204</v>
      </c>
      <c r="H185" s="6">
        <v>86.137930968596706</v>
      </c>
      <c r="I185" t="str">
        <f t="shared" si="2"/>
        <v>lemon</v>
      </c>
      <c r="J185" t="s">
        <v>980</v>
      </c>
    </row>
    <row r="186" spans="1:10" hidden="1" x14ac:dyDescent="0.2">
      <c r="A186" s="3" t="s">
        <v>833</v>
      </c>
      <c r="B186" s="6">
        <v>355.7412109375</v>
      </c>
      <c r="C186" s="6">
        <v>17.077020635282299</v>
      </c>
      <c r="D186" s="6">
        <v>34.493076964181697</v>
      </c>
      <c r="E186" s="6">
        <v>42.5340152534068</v>
      </c>
      <c r="F186" s="6">
        <v>0.98826604834652299</v>
      </c>
      <c r="G186" s="6">
        <v>93.450074079541196</v>
      </c>
      <c r="H186" s="6">
        <v>86.487427833931903</v>
      </c>
      <c r="I186" t="str">
        <f t="shared" si="2"/>
        <v>lemon</v>
      </c>
      <c r="J186" t="s">
        <v>980</v>
      </c>
    </row>
    <row r="187" spans="1:10" hidden="1" x14ac:dyDescent="0.2">
      <c r="A187" s="3" t="s">
        <v>834</v>
      </c>
      <c r="B187" s="6">
        <v>370.224609375</v>
      </c>
      <c r="C187" s="6">
        <v>16.408957822267901</v>
      </c>
      <c r="D187" s="6">
        <v>34.702887878591</v>
      </c>
      <c r="E187" s="6">
        <v>42.743823868830603</v>
      </c>
      <c r="F187" s="6">
        <v>0.98866697257346603</v>
      </c>
      <c r="G187" s="6">
        <v>93.863144487661998</v>
      </c>
      <c r="H187" s="6">
        <v>86.7387056393666</v>
      </c>
      <c r="I187" t="str">
        <f t="shared" si="2"/>
        <v>lemon</v>
      </c>
      <c r="J187" t="s">
        <v>980</v>
      </c>
    </row>
    <row r="188" spans="1:10" hidden="1" x14ac:dyDescent="0.2">
      <c r="A188" s="3" t="s">
        <v>835</v>
      </c>
      <c r="B188" s="6">
        <v>398.1025390625</v>
      </c>
      <c r="C188" s="6">
        <v>15.2598876015866</v>
      </c>
      <c r="D188" s="6">
        <v>35.0328471652291</v>
      </c>
      <c r="E188" s="6">
        <v>43.076416915050999</v>
      </c>
      <c r="F188" s="6">
        <v>0.98953840600780696</v>
      </c>
      <c r="G188" s="6">
        <v>94.517834256384504</v>
      </c>
      <c r="H188" s="6">
        <v>87.288532290820299</v>
      </c>
      <c r="I188" t="str">
        <f t="shared" si="2"/>
        <v>lemon</v>
      </c>
      <c r="J188" t="s">
        <v>980</v>
      </c>
    </row>
    <row r="189" spans="1:10" hidden="1" x14ac:dyDescent="0.2">
      <c r="A189" s="3" t="s">
        <v>836</v>
      </c>
      <c r="B189" s="6">
        <v>424.5390625</v>
      </c>
      <c r="C189" s="6">
        <v>14.3096372904437</v>
      </c>
      <c r="D189" s="6">
        <v>35.3457241009434</v>
      </c>
      <c r="E189" s="6">
        <v>43.389414605497997</v>
      </c>
      <c r="F189" s="6">
        <v>0.99010536244737901</v>
      </c>
      <c r="G189" s="6">
        <v>95.133839108976503</v>
      </c>
      <c r="H189" s="6">
        <v>87.648959367871399</v>
      </c>
      <c r="I189" t="str">
        <f t="shared" si="2"/>
        <v>lemon</v>
      </c>
      <c r="J189" t="s">
        <v>980</v>
      </c>
    </row>
    <row r="190" spans="1:10" hidden="1" x14ac:dyDescent="0.2">
      <c r="A190" s="3" t="s">
        <v>837</v>
      </c>
      <c r="B190" s="6">
        <v>446.234375</v>
      </c>
      <c r="C190" s="6">
        <v>13.613922056094401</v>
      </c>
      <c r="D190" s="6">
        <v>35.629230144951499</v>
      </c>
      <c r="E190" s="6">
        <v>43.672894784631602</v>
      </c>
      <c r="F190" s="6">
        <v>0.99055319798610597</v>
      </c>
      <c r="G190" s="6">
        <v>95.691672133285294</v>
      </c>
      <c r="H190" s="6">
        <v>87.935178161709899</v>
      </c>
      <c r="I190" t="str">
        <f t="shared" si="2"/>
        <v>lemon</v>
      </c>
      <c r="J190" t="s">
        <v>980</v>
      </c>
    </row>
    <row r="191" spans="1:10" hidden="1" x14ac:dyDescent="0.2">
      <c r="A191" s="3" t="s">
        <v>838</v>
      </c>
      <c r="B191" s="6">
        <v>492.3193359375</v>
      </c>
      <c r="C191" s="6">
        <v>12.3395519057395</v>
      </c>
      <c r="D191" s="6">
        <v>36.029217686609897</v>
      </c>
      <c r="E191" s="6">
        <v>44.072095072143398</v>
      </c>
      <c r="F191" s="6">
        <v>0.991178613778124</v>
      </c>
      <c r="G191" s="6">
        <v>96.477114041059096</v>
      </c>
      <c r="H191" s="6">
        <v>88.337148733711004</v>
      </c>
      <c r="I191" t="str">
        <f t="shared" si="2"/>
        <v>lemon</v>
      </c>
      <c r="J191" t="s">
        <v>980</v>
      </c>
    </row>
    <row r="192" spans="1:10" hidden="1" x14ac:dyDescent="0.2">
      <c r="A192" s="3" t="s">
        <v>839</v>
      </c>
      <c r="B192" s="6">
        <v>549.1337890625</v>
      </c>
      <c r="C192" s="6">
        <v>11.062877792261601</v>
      </c>
      <c r="D192" s="6">
        <v>36.506747041505101</v>
      </c>
      <c r="E192" s="6">
        <v>44.549953494095199</v>
      </c>
      <c r="F192" s="6">
        <v>0.991877933586366</v>
      </c>
      <c r="G192" s="6">
        <v>97.417188488945897</v>
      </c>
      <c r="H192" s="6">
        <v>88.789754482358603</v>
      </c>
      <c r="I192" t="str">
        <f t="shared" si="2"/>
        <v>lemon</v>
      </c>
      <c r="J192" t="s">
        <v>980</v>
      </c>
    </row>
    <row r="193" spans="1:10" hidden="1" x14ac:dyDescent="0.2">
      <c r="A193" s="3" t="s">
        <v>840</v>
      </c>
      <c r="B193" s="6">
        <v>612.9677734375</v>
      </c>
      <c r="C193" s="6">
        <v>9.9107983539356894</v>
      </c>
      <c r="D193" s="6">
        <v>37.047171611379703</v>
      </c>
      <c r="E193" s="6">
        <v>45.090476283456098</v>
      </c>
      <c r="F193" s="6">
        <v>0.992602706718133</v>
      </c>
      <c r="G193" s="6">
        <v>98.4804093333737</v>
      </c>
      <c r="H193" s="6">
        <v>89.262352179342798</v>
      </c>
      <c r="I193" t="str">
        <f t="shared" si="2"/>
        <v>lemon</v>
      </c>
      <c r="J193" t="s">
        <v>980</v>
      </c>
    </row>
    <row r="194" spans="1:10" hidden="1" x14ac:dyDescent="0.2">
      <c r="A194" s="3" t="s">
        <v>841</v>
      </c>
      <c r="B194" s="6">
        <v>404.765625</v>
      </c>
      <c r="C194" s="6">
        <v>15.008685581933999</v>
      </c>
      <c r="D194" s="6">
        <v>31.4296879939196</v>
      </c>
      <c r="E194" s="6">
        <v>40.214888377227197</v>
      </c>
      <c r="F194" s="6">
        <v>0.994940240354244</v>
      </c>
      <c r="G194" s="6">
        <v>88.877209025301596</v>
      </c>
      <c r="H194" s="6">
        <v>90.81129773472</v>
      </c>
      <c r="I194" t="str">
        <f t="shared" si="2"/>
        <v>pcgame</v>
      </c>
      <c r="J194" t="s">
        <v>980</v>
      </c>
    </row>
    <row r="195" spans="1:10" hidden="1" x14ac:dyDescent="0.2">
      <c r="A195" s="3" t="s">
        <v>842</v>
      </c>
      <c r="B195" s="6">
        <v>412.00390625</v>
      </c>
      <c r="C195" s="6">
        <v>14.745005830876099</v>
      </c>
      <c r="D195" s="6">
        <v>32.061057158852499</v>
      </c>
      <c r="E195" s="6">
        <v>40.846740328484699</v>
      </c>
      <c r="F195" s="6">
        <v>0.99529617273405502</v>
      </c>
      <c r="G195" s="6">
        <v>90.124881132463102</v>
      </c>
      <c r="H195" s="6">
        <v>91.050504707937506</v>
      </c>
      <c r="I195" t="str">
        <f t="shared" ref="I195:I258" si="3">MID(A195,1,(FIND(".ppm",A195))-1)</f>
        <v>pcgame</v>
      </c>
      <c r="J195" t="s">
        <v>980</v>
      </c>
    </row>
    <row r="196" spans="1:10" hidden="1" x14ac:dyDescent="0.2">
      <c r="A196" s="3" t="s">
        <v>843</v>
      </c>
      <c r="B196" s="6">
        <v>418.6533203125</v>
      </c>
      <c r="C196" s="6">
        <v>14.5108128975673</v>
      </c>
      <c r="D196" s="6">
        <v>32.681667466494602</v>
      </c>
      <c r="E196" s="6">
        <v>41.467601443803403</v>
      </c>
      <c r="F196" s="6">
        <v>0.99583890900674199</v>
      </c>
      <c r="G196" s="6">
        <v>91.3492996552297</v>
      </c>
      <c r="H196" s="6">
        <v>91.416979204681397</v>
      </c>
      <c r="I196" t="str">
        <f t="shared" si="3"/>
        <v>pcgame</v>
      </c>
      <c r="J196" t="s">
        <v>980</v>
      </c>
    </row>
    <row r="197" spans="1:10" hidden="1" x14ac:dyDescent="0.2">
      <c r="A197" s="3" t="s">
        <v>844</v>
      </c>
      <c r="B197" s="6">
        <v>430.705078125</v>
      </c>
      <c r="C197" s="6">
        <v>14.1047791366809</v>
      </c>
      <c r="D197" s="6">
        <v>33.356668560488103</v>
      </c>
      <c r="E197" s="6">
        <v>42.142685589372597</v>
      </c>
      <c r="F197" s="6">
        <v>0.99620231514620305</v>
      </c>
      <c r="G197" s="6">
        <v>92.679441671611798</v>
      </c>
      <c r="H197" s="6">
        <v>91.663533251530694</v>
      </c>
      <c r="I197" t="str">
        <f t="shared" si="3"/>
        <v>pcgame</v>
      </c>
      <c r="J197" t="s">
        <v>980</v>
      </c>
    </row>
    <row r="198" spans="1:10" hidden="1" x14ac:dyDescent="0.2">
      <c r="A198" s="3" t="s">
        <v>845</v>
      </c>
      <c r="B198" s="6">
        <v>438.98828125</v>
      </c>
      <c r="C198" s="6">
        <v>13.8386382039669</v>
      </c>
      <c r="D198" s="6">
        <v>34.343932111893402</v>
      </c>
      <c r="E198" s="6">
        <v>43.1302474981389</v>
      </c>
      <c r="F198" s="6">
        <v>0.99686461184035702</v>
      </c>
      <c r="G198" s="6">
        <v>94.623784422411504</v>
      </c>
      <c r="H198" s="6">
        <v>92.115296485578696</v>
      </c>
      <c r="I198" t="str">
        <f t="shared" si="3"/>
        <v>pcgame</v>
      </c>
      <c r="J198" t="s">
        <v>980</v>
      </c>
    </row>
    <row r="199" spans="1:10" hidden="1" x14ac:dyDescent="0.2">
      <c r="A199" s="3" t="s">
        <v>846</v>
      </c>
      <c r="B199" s="6">
        <v>448.517578125</v>
      </c>
      <c r="C199" s="6">
        <v>13.5446196454466</v>
      </c>
      <c r="D199" s="6">
        <v>35.389193733867998</v>
      </c>
      <c r="E199" s="6">
        <v>44.176347537475003</v>
      </c>
      <c r="F199" s="6">
        <v>0.99741493815419902</v>
      </c>
      <c r="G199" s="6">
        <v>96.682217304990303</v>
      </c>
      <c r="H199" s="6">
        <v>92.493079264550005</v>
      </c>
      <c r="I199" t="str">
        <f t="shared" si="3"/>
        <v>pcgame</v>
      </c>
      <c r="J199" t="s">
        <v>980</v>
      </c>
    </row>
    <row r="200" spans="1:10" hidden="1" x14ac:dyDescent="0.2">
      <c r="A200" s="3" t="s">
        <v>847</v>
      </c>
      <c r="B200" s="6">
        <v>458.7822265625</v>
      </c>
      <c r="C200" s="6">
        <v>13.241576609272601</v>
      </c>
      <c r="D200" s="6">
        <v>36.121866409388502</v>
      </c>
      <c r="E200" s="6">
        <v>44.909558895746699</v>
      </c>
      <c r="F200" s="6">
        <v>0.997674455242889</v>
      </c>
      <c r="G200" s="6">
        <v>98.124553790109402</v>
      </c>
      <c r="H200" s="6">
        <v>92.671988677549706</v>
      </c>
      <c r="I200" t="str">
        <f t="shared" si="3"/>
        <v>pcgame</v>
      </c>
      <c r="J200" t="s">
        <v>980</v>
      </c>
    </row>
    <row r="201" spans="1:10" hidden="1" x14ac:dyDescent="0.2">
      <c r="A201" s="3" t="s">
        <v>848</v>
      </c>
      <c r="B201" s="6">
        <v>466.9873046875</v>
      </c>
      <c r="C201" s="6">
        <v>13.008918955656201</v>
      </c>
      <c r="D201" s="6">
        <v>36.650474080855297</v>
      </c>
      <c r="E201" s="6">
        <v>45.438689194961199</v>
      </c>
      <c r="F201" s="6">
        <v>0.99790291666901598</v>
      </c>
      <c r="G201" s="6">
        <v>99.165295436457498</v>
      </c>
      <c r="H201" s="6">
        <v>92.829892374210402</v>
      </c>
      <c r="I201" t="str">
        <f t="shared" si="3"/>
        <v>pcgame</v>
      </c>
      <c r="J201" t="s">
        <v>980</v>
      </c>
    </row>
    <row r="202" spans="1:10" hidden="1" x14ac:dyDescent="0.2">
      <c r="A202" s="3" t="s">
        <v>849</v>
      </c>
      <c r="B202" s="6">
        <v>486.4912109375</v>
      </c>
      <c r="C202" s="6">
        <v>12.4873787304257</v>
      </c>
      <c r="D202" s="6">
        <v>37.186921594353798</v>
      </c>
      <c r="E202" s="6">
        <v>45.975786380198102</v>
      </c>
      <c r="F202" s="6">
        <v>0.99820025753600194</v>
      </c>
      <c r="G202" s="6">
        <v>100.221623972991</v>
      </c>
      <c r="H202" s="6">
        <v>93.035970790578205</v>
      </c>
      <c r="I202" t="str">
        <f t="shared" si="3"/>
        <v>pcgame</v>
      </c>
      <c r="J202" t="s">
        <v>980</v>
      </c>
    </row>
    <row r="203" spans="1:10" hidden="1" x14ac:dyDescent="0.2">
      <c r="A203" s="3" t="s">
        <v>850</v>
      </c>
      <c r="B203" s="6">
        <v>496.54296875</v>
      </c>
      <c r="C203" s="6">
        <v>12.234590724934099</v>
      </c>
      <c r="D203" s="6">
        <v>37.045239011292999</v>
      </c>
      <c r="E203" s="6">
        <v>45.8344363418054</v>
      </c>
      <c r="F203" s="6">
        <v>0.99822460409156</v>
      </c>
      <c r="G203" s="6">
        <v>99.943632492889904</v>
      </c>
      <c r="H203" s="6">
        <v>93.052873193558995</v>
      </c>
      <c r="I203" t="str">
        <f t="shared" si="3"/>
        <v>pcgame</v>
      </c>
      <c r="J203" t="s">
        <v>980</v>
      </c>
    </row>
    <row r="204" spans="1:10" hidden="1" x14ac:dyDescent="0.2">
      <c r="A204" s="3" t="s">
        <v>851</v>
      </c>
      <c r="B204" s="6">
        <v>524.63671875</v>
      </c>
      <c r="C204" s="6">
        <v>11.5794411311399</v>
      </c>
      <c r="D204" s="6">
        <v>37.273914498681897</v>
      </c>
      <c r="E204" s="6">
        <v>46.061764830839302</v>
      </c>
      <c r="F204" s="6">
        <v>0.99851601746480401</v>
      </c>
      <c r="G204" s="6">
        <v>100.390714695273</v>
      </c>
      <c r="H204" s="6">
        <v>93.255520227461602</v>
      </c>
      <c r="I204" t="str">
        <f t="shared" si="3"/>
        <v>pcgame</v>
      </c>
      <c r="J204" t="s">
        <v>980</v>
      </c>
    </row>
    <row r="205" spans="1:10" hidden="1" x14ac:dyDescent="0.2">
      <c r="A205" s="3" t="s">
        <v>852</v>
      </c>
      <c r="B205" s="6">
        <v>539.3330078125</v>
      </c>
      <c r="C205" s="6">
        <v>11.263912855324399</v>
      </c>
      <c r="D205" s="6">
        <v>38.254617876782497</v>
      </c>
      <c r="E205" s="6">
        <v>47.042754718740198</v>
      </c>
      <c r="F205" s="6">
        <v>0.99869531586726601</v>
      </c>
      <c r="G205" s="6">
        <v>102.319902024824</v>
      </c>
      <c r="H205" s="6">
        <v>93.380511569892406</v>
      </c>
      <c r="I205" t="str">
        <f t="shared" si="3"/>
        <v>pcgame</v>
      </c>
      <c r="J205" t="s">
        <v>980</v>
      </c>
    </row>
    <row r="206" spans="1:10" hidden="1" x14ac:dyDescent="0.2">
      <c r="A206" s="3" t="s">
        <v>853</v>
      </c>
      <c r="B206" s="6">
        <v>561.9775390625</v>
      </c>
      <c r="C206" s="6">
        <v>10.8100405758821</v>
      </c>
      <c r="D206" s="6">
        <v>39.158047195322901</v>
      </c>
      <c r="E206" s="6">
        <v>47.945744467906202</v>
      </c>
      <c r="F206" s="6">
        <v>0.99884409048795197</v>
      </c>
      <c r="G206" s="6">
        <v>104.095594153862</v>
      </c>
      <c r="H206" s="6">
        <v>93.484403085753499</v>
      </c>
      <c r="I206" t="str">
        <f t="shared" si="3"/>
        <v>pcgame</v>
      </c>
      <c r="J206" t="s">
        <v>980</v>
      </c>
    </row>
    <row r="207" spans="1:10" hidden="1" x14ac:dyDescent="0.2">
      <c r="A207" s="3" t="s">
        <v>854</v>
      </c>
      <c r="B207" s="6">
        <v>599.43359375</v>
      </c>
      <c r="C207" s="6">
        <v>10.1345671369457</v>
      </c>
      <c r="D207" s="6">
        <v>39.859287318329699</v>
      </c>
      <c r="E207" s="6">
        <v>48.647061085956203</v>
      </c>
      <c r="F207" s="6">
        <v>0.99902894320429603</v>
      </c>
      <c r="G207" s="6">
        <v>105.474663231343</v>
      </c>
      <c r="H207" s="6">
        <v>93.613714686154495</v>
      </c>
      <c r="I207" t="str">
        <f t="shared" si="3"/>
        <v>pcgame</v>
      </c>
      <c r="J207" t="s">
        <v>980</v>
      </c>
    </row>
    <row r="208" spans="1:10" hidden="1" x14ac:dyDescent="0.2">
      <c r="A208" s="3" t="s">
        <v>855</v>
      </c>
      <c r="B208" s="6">
        <v>641.6015625</v>
      </c>
      <c r="C208" s="6">
        <v>9.4684931506849299</v>
      </c>
      <c r="D208" s="6">
        <v>40.457073325348901</v>
      </c>
      <c r="E208" s="6">
        <v>49.244263778465204</v>
      </c>
      <c r="F208" s="6">
        <v>0.99919155052350395</v>
      </c>
      <c r="G208" s="6">
        <v>106.648984115273</v>
      </c>
      <c r="H208" s="6">
        <v>93.727672377485504</v>
      </c>
      <c r="I208" t="str">
        <f t="shared" si="3"/>
        <v>pcgame</v>
      </c>
      <c r="J208" t="s">
        <v>980</v>
      </c>
    </row>
    <row r="209" spans="1:10" hidden="1" x14ac:dyDescent="0.2">
      <c r="A209" s="3" t="s">
        <v>856</v>
      </c>
      <c r="B209" s="6">
        <v>675.552734375</v>
      </c>
      <c r="C209" s="6">
        <v>8.9926362382655398</v>
      </c>
      <c r="D209" s="6">
        <v>41.799165208522901</v>
      </c>
      <c r="E209" s="6">
        <v>50.586170451160598</v>
      </c>
      <c r="F209" s="6">
        <v>0.99932511206363905</v>
      </c>
      <c r="G209" s="6">
        <v>109.28762957969001</v>
      </c>
      <c r="H209" s="6">
        <v>93.821419936167104</v>
      </c>
      <c r="I209" t="str">
        <f t="shared" si="3"/>
        <v>pcgame</v>
      </c>
      <c r="J209" t="s">
        <v>980</v>
      </c>
    </row>
    <row r="210" spans="1:10" hidden="1" x14ac:dyDescent="0.2">
      <c r="A210" s="3" t="s">
        <v>857</v>
      </c>
      <c r="B210" s="6">
        <v>385.353515625</v>
      </c>
      <c r="C210" s="6">
        <v>15.7647452369729</v>
      </c>
      <c r="D210" s="6">
        <v>34.1379559266623</v>
      </c>
      <c r="E210" s="6">
        <v>36.267823259052399</v>
      </c>
      <c r="F210" s="6">
        <v>0.98062174436404903</v>
      </c>
      <c r="G210" s="6">
        <v>80.969540997854907</v>
      </c>
      <c r="H210" s="6">
        <v>81.893054216171294</v>
      </c>
      <c r="I210" t="str">
        <f t="shared" si="3"/>
        <v>pc_desktop</v>
      </c>
      <c r="J210" t="s">
        <v>980</v>
      </c>
    </row>
    <row r="211" spans="1:10" hidden="1" x14ac:dyDescent="0.2">
      <c r="A211" s="3" t="s">
        <v>858</v>
      </c>
      <c r="B211" s="6">
        <v>397.1806640625</v>
      </c>
      <c r="C211" s="6">
        <v>15.2953065183557</v>
      </c>
      <c r="D211" s="6">
        <v>34.458569926245403</v>
      </c>
      <c r="E211" s="6">
        <v>36.587643842788701</v>
      </c>
      <c r="F211" s="6">
        <v>0.98138981348226295</v>
      </c>
      <c r="G211" s="6">
        <v>81.625559422933307</v>
      </c>
      <c r="H211" s="6">
        <v>82.338221403409307</v>
      </c>
      <c r="I211" t="str">
        <f t="shared" si="3"/>
        <v>pc_desktop</v>
      </c>
      <c r="J211" t="s">
        <v>980</v>
      </c>
    </row>
    <row r="212" spans="1:10" hidden="1" x14ac:dyDescent="0.2">
      <c r="A212" s="3" t="s">
        <v>859</v>
      </c>
      <c r="B212" s="6">
        <v>407.7001953125</v>
      </c>
      <c r="C212" s="6">
        <v>14.9006551133574</v>
      </c>
      <c r="D212" s="6">
        <v>34.7844014001696</v>
      </c>
      <c r="E212" s="6">
        <v>36.9128192949847</v>
      </c>
      <c r="F212" s="6">
        <v>0.98207475534437205</v>
      </c>
      <c r="G212" s="6">
        <v>82.287977107557694</v>
      </c>
      <c r="H212" s="6">
        <v>82.738241644770397</v>
      </c>
      <c r="I212" t="str">
        <f t="shared" si="3"/>
        <v>pc_desktop</v>
      </c>
      <c r="J212" t="s">
        <v>980</v>
      </c>
    </row>
    <row r="213" spans="1:10" hidden="1" x14ac:dyDescent="0.2">
      <c r="A213" s="3" t="s">
        <v>860</v>
      </c>
      <c r="B213" s="6">
        <v>421.494140625</v>
      </c>
      <c r="C213" s="6">
        <v>14.413011746715799</v>
      </c>
      <c r="D213" s="6">
        <v>35.150105568716903</v>
      </c>
      <c r="E213" s="6">
        <v>37.277510055847401</v>
      </c>
      <c r="F213" s="6">
        <v>0.98298204192015104</v>
      </c>
      <c r="G213" s="6">
        <v>83.026331931977097</v>
      </c>
      <c r="H213" s="6">
        <v>83.2725555571039</v>
      </c>
      <c r="I213" t="str">
        <f t="shared" si="3"/>
        <v>pc_desktop</v>
      </c>
      <c r="J213" t="s">
        <v>980</v>
      </c>
    </row>
    <row r="214" spans="1:10" hidden="1" x14ac:dyDescent="0.2">
      <c r="A214" s="3" t="s">
        <v>861</v>
      </c>
      <c r="B214" s="6">
        <v>432.9453125</v>
      </c>
      <c r="C214" s="6">
        <v>14.0317952974719</v>
      </c>
      <c r="D214" s="6">
        <v>35.529310584189503</v>
      </c>
      <c r="E214" s="6">
        <v>37.6559350694328</v>
      </c>
      <c r="F214" s="6">
        <v>0.98387712714419595</v>
      </c>
      <c r="G214" s="6">
        <v>83.788315739557802</v>
      </c>
      <c r="H214" s="6">
        <v>83.804686225118104</v>
      </c>
      <c r="I214" t="str">
        <f t="shared" si="3"/>
        <v>pc_desktop</v>
      </c>
      <c r="J214" t="s">
        <v>980</v>
      </c>
    </row>
    <row r="215" spans="1:10" hidden="1" x14ac:dyDescent="0.2">
      <c r="A215" s="3" t="s">
        <v>862</v>
      </c>
      <c r="B215" s="6">
        <v>446.359375</v>
      </c>
      <c r="C215" s="6">
        <v>13.610109566982899</v>
      </c>
      <c r="D215" s="6">
        <v>35.9300426090945</v>
      </c>
      <c r="E215" s="6">
        <v>38.055970692019798</v>
      </c>
      <c r="F215" s="6">
        <v>0.98472770893664896</v>
      </c>
      <c r="G215" s="6">
        <v>84.590078021847702</v>
      </c>
      <c r="H215" s="6">
        <v>84.315007230374505</v>
      </c>
      <c r="I215" t="str">
        <f t="shared" si="3"/>
        <v>pc_desktop</v>
      </c>
      <c r="J215" t="s">
        <v>980</v>
      </c>
    </row>
    <row r="216" spans="1:10" hidden="1" x14ac:dyDescent="0.2">
      <c r="A216" s="3" t="s">
        <v>863</v>
      </c>
      <c r="B216" s="6">
        <v>462.390625</v>
      </c>
      <c r="C216" s="6">
        <v>13.138242151860201</v>
      </c>
      <c r="D216" s="6">
        <v>36.3732828681459</v>
      </c>
      <c r="E216" s="6">
        <v>38.498678343871902</v>
      </c>
      <c r="F216" s="6">
        <v>0.98571007232958496</v>
      </c>
      <c r="G216" s="6">
        <v>85.473803655838395</v>
      </c>
      <c r="H216" s="6">
        <v>84.910084037930602</v>
      </c>
      <c r="I216" t="str">
        <f t="shared" si="3"/>
        <v>pc_desktop</v>
      </c>
      <c r="J216" t="s">
        <v>980</v>
      </c>
    </row>
    <row r="217" spans="1:10" hidden="1" x14ac:dyDescent="0.2">
      <c r="A217" s="3" t="s">
        <v>864</v>
      </c>
      <c r="B217" s="6">
        <v>477.6123046875</v>
      </c>
      <c r="C217" s="6">
        <v>12.7195215457752</v>
      </c>
      <c r="D217" s="6">
        <v>36.845750439659298</v>
      </c>
      <c r="E217" s="6">
        <v>38.970352874673502</v>
      </c>
      <c r="F217" s="6">
        <v>0.98675814355471003</v>
      </c>
      <c r="G217" s="6">
        <v>86.412135453809796</v>
      </c>
      <c r="H217" s="6">
        <v>85.551759352585805</v>
      </c>
      <c r="I217" t="str">
        <f t="shared" si="3"/>
        <v>pc_desktop</v>
      </c>
      <c r="J217" t="s">
        <v>980</v>
      </c>
    </row>
    <row r="218" spans="1:10" hidden="1" x14ac:dyDescent="0.2">
      <c r="A218" s="3" t="s">
        <v>865</v>
      </c>
      <c r="B218" s="6">
        <v>499.6455078125</v>
      </c>
      <c r="C218" s="6">
        <v>12.1586202717943</v>
      </c>
      <c r="D218" s="6">
        <v>37.397110458059601</v>
      </c>
      <c r="E218" s="6">
        <v>39.521110080099596</v>
      </c>
      <c r="F218" s="6">
        <v>0.98796769114274696</v>
      </c>
      <c r="G218" s="6">
        <v>87.504600765449197</v>
      </c>
      <c r="H218" s="6">
        <v>86.3011182078546</v>
      </c>
      <c r="I218" t="str">
        <f t="shared" si="3"/>
        <v>pc_desktop</v>
      </c>
      <c r="J218" t="s">
        <v>980</v>
      </c>
    </row>
    <row r="219" spans="1:10" hidden="1" x14ac:dyDescent="0.2">
      <c r="A219" s="3" t="s">
        <v>866</v>
      </c>
      <c r="B219" s="6">
        <v>517.0224609375</v>
      </c>
      <c r="C219" s="6">
        <v>11.7499730843113</v>
      </c>
      <c r="D219" s="6">
        <v>37.956124059939903</v>
      </c>
      <c r="E219" s="6">
        <v>40.079292124633497</v>
      </c>
      <c r="F219" s="6">
        <v>0.98875273463757196</v>
      </c>
      <c r="G219" s="6">
        <v>88.6091886972075</v>
      </c>
      <c r="H219" s="6">
        <v>86.792594056750403</v>
      </c>
      <c r="I219" t="str">
        <f t="shared" si="3"/>
        <v>pc_desktop</v>
      </c>
      <c r="J219" t="s">
        <v>980</v>
      </c>
    </row>
    <row r="220" spans="1:10" hidden="1" x14ac:dyDescent="0.2">
      <c r="A220" s="3" t="s">
        <v>867</v>
      </c>
      <c r="B220" s="6">
        <v>544.53515625</v>
      </c>
      <c r="C220" s="6">
        <v>11.1563044741429</v>
      </c>
      <c r="D220" s="6">
        <v>38.619165141672198</v>
      </c>
      <c r="E220" s="6">
        <v>40.741263866693501</v>
      </c>
      <c r="F220" s="6">
        <v>0.98992034581428401</v>
      </c>
      <c r="G220" s="6">
        <v>89.916730527548907</v>
      </c>
      <c r="H220" s="6">
        <v>87.531104339620697</v>
      </c>
      <c r="I220" t="str">
        <f t="shared" si="3"/>
        <v>pc_desktop</v>
      </c>
      <c r="J220" t="s">
        <v>980</v>
      </c>
    </row>
    <row r="221" spans="1:10" hidden="1" x14ac:dyDescent="0.2">
      <c r="A221" s="3" t="s">
        <v>868</v>
      </c>
      <c r="B221" s="6">
        <v>571.3603515625</v>
      </c>
      <c r="C221" s="6">
        <v>10.6325193608319</v>
      </c>
      <c r="D221" s="6">
        <v>39.310336698182702</v>
      </c>
      <c r="E221" s="6">
        <v>41.431522147505198</v>
      </c>
      <c r="F221" s="6">
        <v>0.99100069762881604</v>
      </c>
      <c r="G221" s="6">
        <v>91.278179775117195</v>
      </c>
      <c r="H221" s="6">
        <v>88.222528907720303</v>
      </c>
      <c r="I221" t="str">
        <f t="shared" si="3"/>
        <v>pc_desktop</v>
      </c>
      <c r="J221" t="s">
        <v>980</v>
      </c>
    </row>
    <row r="222" spans="1:10" hidden="1" x14ac:dyDescent="0.2">
      <c r="A222" s="3" t="s">
        <v>869</v>
      </c>
      <c r="B222" s="6">
        <v>595.0625</v>
      </c>
      <c r="C222" s="6">
        <v>10.2090116584392</v>
      </c>
      <c r="D222" s="6">
        <v>40.123100411580999</v>
      </c>
      <c r="E222" s="6">
        <v>42.242900573988997</v>
      </c>
      <c r="F222" s="6">
        <v>0.99196818548973897</v>
      </c>
      <c r="G222" s="6">
        <v>92.876816750878504</v>
      </c>
      <c r="H222" s="6">
        <v>88.848408651287897</v>
      </c>
      <c r="I222" t="str">
        <f t="shared" si="3"/>
        <v>pc_desktop</v>
      </c>
      <c r="J222" t="s">
        <v>980</v>
      </c>
    </row>
    <row r="223" spans="1:10" hidden="1" x14ac:dyDescent="0.2">
      <c r="A223" s="3" t="s">
        <v>870</v>
      </c>
      <c r="B223" s="6">
        <v>636.9990234375</v>
      </c>
      <c r="C223" s="6">
        <v>9.5369063004474999</v>
      </c>
      <c r="D223" s="6">
        <v>41.0253140864586</v>
      </c>
      <c r="E223" s="6">
        <v>43.144150345815099</v>
      </c>
      <c r="F223" s="6">
        <v>0.99314143424067902</v>
      </c>
      <c r="G223" s="6">
        <v>94.651147707499604</v>
      </c>
      <c r="H223" s="6">
        <v>89.615972813232503</v>
      </c>
      <c r="I223" t="str">
        <f t="shared" si="3"/>
        <v>pc_desktop</v>
      </c>
      <c r="J223" t="s">
        <v>980</v>
      </c>
    </row>
    <row r="224" spans="1:10" hidden="1" x14ac:dyDescent="0.2">
      <c r="A224" s="3" t="s">
        <v>871</v>
      </c>
      <c r="B224" s="6">
        <v>686.025390625</v>
      </c>
      <c r="C224" s="6">
        <v>8.8553573716351792</v>
      </c>
      <c r="D224" s="6">
        <v>42.102483958481102</v>
      </c>
      <c r="E224" s="6">
        <v>44.220196647713301</v>
      </c>
      <c r="F224" s="6">
        <v>0.99427639658576406</v>
      </c>
      <c r="G224" s="6">
        <v>96.768482822720799</v>
      </c>
      <c r="H224" s="6">
        <v>90.3675372611619</v>
      </c>
      <c r="I224" t="str">
        <f t="shared" si="3"/>
        <v>pc_desktop</v>
      </c>
      <c r="J224" t="s">
        <v>980</v>
      </c>
    </row>
    <row r="225" spans="1:10" hidden="1" x14ac:dyDescent="0.2">
      <c r="A225" s="3" t="s">
        <v>872</v>
      </c>
      <c r="B225" s="6">
        <v>743.521484375</v>
      </c>
      <c r="C225" s="6">
        <v>8.1705776196993298</v>
      </c>
      <c r="D225" s="6">
        <v>43.321618286514301</v>
      </c>
      <c r="E225" s="6">
        <v>45.438013917034198</v>
      </c>
      <c r="F225" s="6">
        <v>0.99537273900085599</v>
      </c>
      <c r="G225" s="6">
        <v>99.163967295411695</v>
      </c>
      <c r="H225" s="6">
        <v>91.102078529359005</v>
      </c>
      <c r="I225" t="str">
        <f t="shared" si="3"/>
        <v>pc_desktop</v>
      </c>
      <c r="J225" t="s">
        <v>980</v>
      </c>
    </row>
    <row r="226" spans="1:10" hidden="1" x14ac:dyDescent="0.2">
      <c r="A226" s="3" t="s">
        <v>873</v>
      </c>
      <c r="B226" s="6">
        <v>422.2529296875</v>
      </c>
      <c r="C226" s="6">
        <v>14.3871115459068</v>
      </c>
      <c r="D226" s="6">
        <v>32.7256438296114</v>
      </c>
      <c r="E226" s="6">
        <v>39.253718787623797</v>
      </c>
      <c r="F226" s="6">
        <v>0.99556670877081099</v>
      </c>
      <c r="G226" s="6">
        <v>86.974581932174004</v>
      </c>
      <c r="H226" s="6">
        <v>91.232919138684295</v>
      </c>
      <c r="I226" t="str">
        <f t="shared" si="3"/>
        <v>rainier</v>
      </c>
      <c r="J226" t="s">
        <v>980</v>
      </c>
    </row>
    <row r="227" spans="1:10" hidden="1" x14ac:dyDescent="0.2">
      <c r="A227" s="3" t="s">
        <v>874</v>
      </c>
      <c r="B227" s="6">
        <v>452.119140625</v>
      </c>
      <c r="C227" s="6">
        <v>13.436723761798801</v>
      </c>
      <c r="D227" s="6">
        <v>32.722713413233102</v>
      </c>
      <c r="E227" s="6">
        <v>39.239458730971499</v>
      </c>
      <c r="F227" s="6">
        <v>0.99561241522227695</v>
      </c>
      <c r="G227" s="6">
        <v>86.946297234011794</v>
      </c>
      <c r="H227" s="6">
        <v>91.263788824646994</v>
      </c>
      <c r="I227" t="str">
        <f t="shared" si="3"/>
        <v>rainier</v>
      </c>
      <c r="J227" t="s">
        <v>980</v>
      </c>
    </row>
    <row r="228" spans="1:10" hidden="1" x14ac:dyDescent="0.2">
      <c r="A228" s="3" t="s">
        <v>875</v>
      </c>
      <c r="B228" s="6">
        <v>470.3564453125</v>
      </c>
      <c r="C228" s="6">
        <v>12.915736694038101</v>
      </c>
      <c r="D228" s="6">
        <v>33.923144643484299</v>
      </c>
      <c r="E228" s="6">
        <v>40.436282650265099</v>
      </c>
      <c r="F228" s="6">
        <v>0.99660092426015701</v>
      </c>
      <c r="G228" s="6">
        <v>89.314598777848303</v>
      </c>
      <c r="H228" s="6">
        <v>91.935054584952894</v>
      </c>
      <c r="I228" t="str">
        <f t="shared" si="3"/>
        <v>rainier</v>
      </c>
      <c r="J228" t="s">
        <v>980</v>
      </c>
    </row>
    <row r="229" spans="1:10" hidden="1" x14ac:dyDescent="0.2">
      <c r="A229" s="3" t="s">
        <v>876</v>
      </c>
      <c r="B229" s="6">
        <v>486.30078125</v>
      </c>
      <c r="C229" s="6">
        <v>12.4922686416104</v>
      </c>
      <c r="D229" s="6">
        <v>35.393413807255698</v>
      </c>
      <c r="E229" s="6">
        <v>41.908356811211398</v>
      </c>
      <c r="F229" s="6">
        <v>0.99748995790447803</v>
      </c>
      <c r="G229" s="6">
        <v>92.217851430059397</v>
      </c>
      <c r="H229" s="6">
        <v>92.544747330999598</v>
      </c>
      <c r="I229" t="str">
        <f t="shared" si="3"/>
        <v>rainier</v>
      </c>
      <c r="J229" t="s">
        <v>980</v>
      </c>
    </row>
    <row r="230" spans="1:10" hidden="1" x14ac:dyDescent="0.2">
      <c r="A230" s="3" t="s">
        <v>877</v>
      </c>
      <c r="B230" s="6">
        <v>499.830078125</v>
      </c>
      <c r="C230" s="6">
        <v>12.154130505288901</v>
      </c>
      <c r="D230" s="6">
        <v>37.130855174638199</v>
      </c>
      <c r="E230" s="6">
        <v>43.646898559096201</v>
      </c>
      <c r="F230" s="6">
        <v>0.99824377097244599</v>
      </c>
      <c r="G230" s="6">
        <v>95.640519494423401</v>
      </c>
      <c r="H230" s="6">
        <v>93.0661826875223</v>
      </c>
      <c r="I230" t="str">
        <f t="shared" si="3"/>
        <v>rainier</v>
      </c>
      <c r="J230" t="s">
        <v>980</v>
      </c>
    </row>
    <row r="231" spans="1:10" hidden="1" x14ac:dyDescent="0.2">
      <c r="A231" s="3" t="s">
        <v>878</v>
      </c>
      <c r="B231" s="6">
        <v>511.828125</v>
      </c>
      <c r="C231" s="6">
        <v>11.8692187929298</v>
      </c>
      <c r="D231" s="6">
        <v>39.271911610425803</v>
      </c>
      <c r="E231" s="6">
        <v>45.790222243450998</v>
      </c>
      <c r="F231" s="6">
        <v>0.99879908092578196</v>
      </c>
      <c r="G231" s="6">
        <v>99.856676211250402</v>
      </c>
      <c r="H231" s="6">
        <v>93.452955125730597</v>
      </c>
      <c r="I231" t="str">
        <f t="shared" si="3"/>
        <v>rainier</v>
      </c>
      <c r="J231" t="s">
        <v>980</v>
      </c>
    </row>
    <row r="232" spans="1:10" hidden="1" x14ac:dyDescent="0.2">
      <c r="A232" s="3" t="s">
        <v>879</v>
      </c>
      <c r="B232" s="6">
        <v>521.5595703125</v>
      </c>
      <c r="C232" s="6">
        <v>11.647758656523299</v>
      </c>
      <c r="D232" s="6">
        <v>39.847869754520303</v>
      </c>
      <c r="E232" s="6">
        <v>46.370502160073102</v>
      </c>
      <c r="F232" s="6">
        <v>0.99893046656484696</v>
      </c>
      <c r="G232" s="6">
        <v>100.997885452261</v>
      </c>
      <c r="H232" s="6">
        <v>93.544795254637805</v>
      </c>
      <c r="I232" t="str">
        <f t="shared" si="3"/>
        <v>rainier</v>
      </c>
      <c r="J232" t="s">
        <v>980</v>
      </c>
    </row>
    <row r="233" spans="1:10" hidden="1" x14ac:dyDescent="0.2">
      <c r="A233" s="3" t="s">
        <v>880</v>
      </c>
      <c r="B233" s="6">
        <v>529.27734375</v>
      </c>
      <c r="C233" s="6">
        <v>11.4779143141813</v>
      </c>
      <c r="D233" s="6">
        <v>38.362010996304903</v>
      </c>
      <c r="E233" s="6">
        <v>44.886536707933601</v>
      </c>
      <c r="F233" s="6">
        <v>0.99864554489936597</v>
      </c>
      <c r="G233" s="6">
        <v>98.079269398049902</v>
      </c>
      <c r="H233" s="6">
        <v>93.345791966359002</v>
      </c>
      <c r="I233" t="str">
        <f t="shared" si="3"/>
        <v>rainier</v>
      </c>
      <c r="J233" t="s">
        <v>980</v>
      </c>
    </row>
    <row r="234" spans="1:10" hidden="1" x14ac:dyDescent="0.2">
      <c r="A234" s="3" t="s">
        <v>881</v>
      </c>
      <c r="B234" s="6">
        <v>542.712890625</v>
      </c>
      <c r="C234" s="6">
        <v>11.193763967912901</v>
      </c>
      <c r="D234" s="6">
        <v>36.734532763979999</v>
      </c>
      <c r="E234" s="6">
        <v>43.259302059799502</v>
      </c>
      <c r="F234" s="6">
        <v>0.99814447340898105</v>
      </c>
      <c r="G234" s="6">
        <v>94.877779061238101</v>
      </c>
      <c r="H234" s="6">
        <v>92.997259385448402</v>
      </c>
      <c r="I234" t="str">
        <f t="shared" si="3"/>
        <v>rainier</v>
      </c>
      <c r="J234" t="s">
        <v>980</v>
      </c>
    </row>
    <row r="235" spans="1:10" hidden="1" x14ac:dyDescent="0.2">
      <c r="A235" s="3" t="s">
        <v>882</v>
      </c>
      <c r="B235" s="6">
        <v>553.583984375</v>
      </c>
      <c r="C235" s="6">
        <v>10.9739446433927</v>
      </c>
      <c r="D235" s="6">
        <v>37.187367656648497</v>
      </c>
      <c r="E235" s="6">
        <v>43.705456267713402</v>
      </c>
      <c r="F235" s="6">
        <v>0.99828136746167295</v>
      </c>
      <c r="G235" s="6">
        <v>95.7557424447361</v>
      </c>
      <c r="H235" s="6">
        <v>93.092297491452001</v>
      </c>
      <c r="I235" t="str">
        <f t="shared" si="3"/>
        <v>rainier</v>
      </c>
      <c r="J235" t="s">
        <v>980</v>
      </c>
    </row>
    <row r="236" spans="1:10" hidden="1" x14ac:dyDescent="0.2">
      <c r="A236" s="3" t="s">
        <v>883</v>
      </c>
      <c r="B236" s="6">
        <v>572.3134765625</v>
      </c>
      <c r="C236" s="6">
        <v>10.6148120720281</v>
      </c>
      <c r="D236" s="6">
        <v>39.923907891315402</v>
      </c>
      <c r="E236" s="6">
        <v>46.4433382806574</v>
      </c>
      <c r="F236" s="6">
        <v>0.99893312803918999</v>
      </c>
      <c r="G236" s="6">
        <v>101.141124368231</v>
      </c>
      <c r="H236" s="6">
        <v>93.546656966014595</v>
      </c>
      <c r="I236" t="str">
        <f t="shared" si="3"/>
        <v>rainier</v>
      </c>
      <c r="J236" t="s">
        <v>980</v>
      </c>
    </row>
    <row r="237" spans="1:10" hidden="1" x14ac:dyDescent="0.2">
      <c r="A237" s="3" t="s">
        <v>884</v>
      </c>
      <c r="B237" s="6">
        <v>590.3349609375</v>
      </c>
      <c r="C237" s="6">
        <v>10.2907677877529</v>
      </c>
      <c r="D237" s="6">
        <v>39.889786946077997</v>
      </c>
      <c r="E237" s="6">
        <v>46.413035599459398</v>
      </c>
      <c r="F237" s="6">
        <v>0.99895419403235997</v>
      </c>
      <c r="G237" s="6">
        <v>101.081531471475</v>
      </c>
      <c r="H237" s="6">
        <v>93.561394543027504</v>
      </c>
      <c r="I237" t="str">
        <f t="shared" si="3"/>
        <v>rainier</v>
      </c>
      <c r="J237" t="s">
        <v>980</v>
      </c>
    </row>
    <row r="238" spans="1:10" hidden="1" x14ac:dyDescent="0.2">
      <c r="A238" s="3" t="s">
        <v>885</v>
      </c>
      <c r="B238" s="6">
        <v>633.2724609375</v>
      </c>
      <c r="C238" s="6">
        <v>9.5930272903491396</v>
      </c>
      <c r="D238" s="6">
        <v>38.8384256553936</v>
      </c>
      <c r="E238" s="6">
        <v>45.358623139078901</v>
      </c>
      <c r="F238" s="6">
        <v>0.99878377101323901</v>
      </c>
      <c r="G238" s="6">
        <v>99.007820062795304</v>
      </c>
      <c r="H238" s="6">
        <v>93.442261550776493</v>
      </c>
      <c r="I238" t="str">
        <f t="shared" si="3"/>
        <v>rainier</v>
      </c>
      <c r="J238" t="s">
        <v>980</v>
      </c>
    </row>
    <row r="239" spans="1:10" hidden="1" x14ac:dyDescent="0.2">
      <c r="A239" s="3" t="s">
        <v>886</v>
      </c>
      <c r="B239" s="6">
        <v>690.25390625</v>
      </c>
      <c r="C239" s="6">
        <v>8.8011091932882497</v>
      </c>
      <c r="D239" s="6">
        <v>40.696528766471303</v>
      </c>
      <c r="E239" s="6">
        <v>47.218563074450699</v>
      </c>
      <c r="F239" s="6">
        <v>0.99910980762130697</v>
      </c>
      <c r="G239" s="6">
        <v>102.66562797359499</v>
      </c>
      <c r="H239" s="6">
        <v>93.670361393060105</v>
      </c>
      <c r="I239" t="str">
        <f t="shared" si="3"/>
        <v>rainier</v>
      </c>
      <c r="J239" t="s">
        <v>980</v>
      </c>
    </row>
    <row r="240" spans="1:10" hidden="1" x14ac:dyDescent="0.2">
      <c r="A240" s="3" t="s">
        <v>887</v>
      </c>
      <c r="B240" s="6">
        <v>727.9580078125</v>
      </c>
      <c r="C240" s="6">
        <v>8.3452615876226997</v>
      </c>
      <c r="D240" s="6">
        <v>40.562135730543098</v>
      </c>
      <c r="E240" s="6">
        <v>47.082948125106498</v>
      </c>
      <c r="F240" s="6">
        <v>0.99910528491919404</v>
      </c>
      <c r="G240" s="6">
        <v>102.398942390757</v>
      </c>
      <c r="H240" s="6">
        <v>93.667191904609595</v>
      </c>
      <c r="I240" t="str">
        <f t="shared" si="3"/>
        <v>rainier</v>
      </c>
      <c r="J240" t="s">
        <v>980</v>
      </c>
    </row>
    <row r="241" spans="1:10" hidden="1" x14ac:dyDescent="0.2">
      <c r="A241" s="3" t="s">
        <v>888</v>
      </c>
      <c r="B241" s="6">
        <v>769.5380859375</v>
      </c>
      <c r="C241" s="6">
        <v>7.8943461162146997</v>
      </c>
      <c r="D241" s="6">
        <v>40.948012698953399</v>
      </c>
      <c r="E241" s="6">
        <v>47.469352685822102</v>
      </c>
      <c r="F241" s="6">
        <v>0.99918875784056604</v>
      </c>
      <c r="G241" s="6">
        <v>103.15879853043</v>
      </c>
      <c r="H241" s="6">
        <v>93.725713580741996</v>
      </c>
      <c r="I241" t="str">
        <f t="shared" si="3"/>
        <v>rainier</v>
      </c>
      <c r="J241" t="s">
        <v>980</v>
      </c>
    </row>
    <row r="242" spans="1:10" hidden="1" x14ac:dyDescent="0.2">
      <c r="A242" s="3" t="s">
        <v>889</v>
      </c>
      <c r="B242" s="6">
        <v>245.4794921875</v>
      </c>
      <c r="C242" s="6">
        <v>24.747484793392999</v>
      </c>
      <c r="D242" s="6">
        <v>32.370824939829902</v>
      </c>
      <c r="E242" s="6">
        <v>39.893491774355802</v>
      </c>
      <c r="F242" s="6">
        <v>0.951822371554779</v>
      </c>
      <c r="G242" s="6">
        <v>88.241750957944603</v>
      </c>
      <c r="H242" s="6">
        <v>67.534799546192502</v>
      </c>
      <c r="I242" t="str">
        <f t="shared" si="3"/>
        <v>room</v>
      </c>
      <c r="J242" t="s">
        <v>980</v>
      </c>
    </row>
    <row r="243" spans="1:10" hidden="1" x14ac:dyDescent="0.2">
      <c r="A243" s="3" t="s">
        <v>890</v>
      </c>
      <c r="B243" s="6">
        <v>256.033203125</v>
      </c>
      <c r="C243" s="6">
        <v>23.7273913142979</v>
      </c>
      <c r="D243" s="6">
        <v>32.561496294051203</v>
      </c>
      <c r="E243" s="6">
        <v>40.079399390438098</v>
      </c>
      <c r="F243" s="6">
        <v>0.95338508501773001</v>
      </c>
      <c r="G243" s="6">
        <v>88.609400762550294</v>
      </c>
      <c r="H243" s="6">
        <v>68.208539142453901</v>
      </c>
      <c r="I243" t="str">
        <f t="shared" si="3"/>
        <v>room</v>
      </c>
      <c r="J243" t="s">
        <v>980</v>
      </c>
    </row>
    <row r="244" spans="1:10" hidden="1" x14ac:dyDescent="0.2">
      <c r="A244" s="3" t="s">
        <v>891</v>
      </c>
      <c r="B244" s="6">
        <v>263.7109375</v>
      </c>
      <c r="C244" s="6">
        <v>23.036587172270799</v>
      </c>
      <c r="D244" s="6">
        <v>32.679815633638597</v>
      </c>
      <c r="E244" s="6">
        <v>40.198042499910997</v>
      </c>
      <c r="F244" s="6">
        <v>0.95419857764564198</v>
      </c>
      <c r="G244" s="6">
        <v>88.8439171739805</v>
      </c>
      <c r="H244" s="6">
        <v>68.563597817039394</v>
      </c>
      <c r="I244" t="str">
        <f t="shared" si="3"/>
        <v>room</v>
      </c>
      <c r="J244" t="s">
        <v>980</v>
      </c>
    </row>
    <row r="245" spans="1:10" hidden="1" x14ac:dyDescent="0.2">
      <c r="A245" s="3" t="s">
        <v>892</v>
      </c>
      <c r="B245" s="6">
        <v>276.4814453125</v>
      </c>
      <c r="C245" s="6">
        <v>21.972541387482899</v>
      </c>
      <c r="D245" s="6">
        <v>32.846849313766498</v>
      </c>
      <c r="E245" s="6">
        <v>40.3651715591716</v>
      </c>
      <c r="F245" s="6">
        <v>0.95556705947440002</v>
      </c>
      <c r="G245" s="6">
        <v>89.174138762350495</v>
      </c>
      <c r="H245" s="6">
        <v>69.167675688113604</v>
      </c>
      <c r="I245" t="str">
        <f t="shared" si="3"/>
        <v>room</v>
      </c>
      <c r="J245" t="s">
        <v>980</v>
      </c>
    </row>
    <row r="246" spans="1:10" hidden="1" x14ac:dyDescent="0.2">
      <c r="A246" s="3" t="s">
        <v>893</v>
      </c>
      <c r="B246" s="6">
        <v>285.7001953125</v>
      </c>
      <c r="C246" s="6">
        <v>21.263548641803101</v>
      </c>
      <c r="D246" s="6">
        <v>33.008260045148802</v>
      </c>
      <c r="E246" s="6">
        <v>40.530969291247999</v>
      </c>
      <c r="F246" s="6">
        <v>0.95681997530450602</v>
      </c>
      <c r="G246" s="6">
        <v>89.501586816083801</v>
      </c>
      <c r="H246" s="6">
        <v>69.728300619487101</v>
      </c>
      <c r="I246" t="str">
        <f t="shared" si="3"/>
        <v>room</v>
      </c>
      <c r="J246" t="s">
        <v>980</v>
      </c>
    </row>
    <row r="247" spans="1:10" hidden="1" x14ac:dyDescent="0.2">
      <c r="A247" s="3" t="s">
        <v>894</v>
      </c>
      <c r="B247" s="6">
        <v>295.95703125</v>
      </c>
      <c r="C247" s="6">
        <v>20.526628390417699</v>
      </c>
      <c r="D247" s="6">
        <v>33.169787404518303</v>
      </c>
      <c r="E247" s="6">
        <v>40.692165955552802</v>
      </c>
      <c r="F247" s="6">
        <v>0.95792993740695997</v>
      </c>
      <c r="G247" s="6">
        <v>89.819823448001898</v>
      </c>
      <c r="H247" s="6">
        <v>70.231080372285504</v>
      </c>
      <c r="I247" t="str">
        <f t="shared" si="3"/>
        <v>room</v>
      </c>
      <c r="J247" t="s">
        <v>980</v>
      </c>
    </row>
    <row r="248" spans="1:10" hidden="1" x14ac:dyDescent="0.2">
      <c r="A248" s="3" t="s">
        <v>895</v>
      </c>
      <c r="B248" s="6">
        <v>311.572265625</v>
      </c>
      <c r="C248" s="6">
        <v>19.497884344146701</v>
      </c>
      <c r="D248" s="6">
        <v>33.371030080914302</v>
      </c>
      <c r="E248" s="6">
        <v>40.893261120473802</v>
      </c>
      <c r="F248" s="6">
        <v>0.95939961369391702</v>
      </c>
      <c r="G248" s="6">
        <v>90.216672662353403</v>
      </c>
      <c r="H248" s="6">
        <v>70.905772142737504</v>
      </c>
      <c r="I248" t="str">
        <f t="shared" si="3"/>
        <v>room</v>
      </c>
      <c r="J248" t="s">
        <v>980</v>
      </c>
    </row>
    <row r="249" spans="1:10" hidden="1" x14ac:dyDescent="0.2">
      <c r="A249" s="3" t="s">
        <v>896</v>
      </c>
      <c r="B249" s="6">
        <v>323.1875</v>
      </c>
      <c r="C249" s="6">
        <v>18.797137884355099</v>
      </c>
      <c r="D249" s="6">
        <v>33.531742463265701</v>
      </c>
      <c r="E249" s="6">
        <v>41.048636476887502</v>
      </c>
      <c r="F249" s="6">
        <v>0.96034716217197802</v>
      </c>
      <c r="G249" s="6">
        <v>90.523189363225796</v>
      </c>
      <c r="H249" s="6">
        <v>71.346258853585795</v>
      </c>
      <c r="I249" t="str">
        <f t="shared" si="3"/>
        <v>room</v>
      </c>
      <c r="J249" t="s">
        <v>980</v>
      </c>
    </row>
    <row r="250" spans="1:10" hidden="1" x14ac:dyDescent="0.2">
      <c r="A250" s="3" t="s">
        <v>897</v>
      </c>
      <c r="B250" s="6">
        <v>344.833984375</v>
      </c>
      <c r="C250" s="6">
        <v>17.617173118858101</v>
      </c>
      <c r="D250" s="6">
        <v>33.769443462563601</v>
      </c>
      <c r="E250" s="6">
        <v>41.287478959132599</v>
      </c>
      <c r="F250" s="6">
        <v>0.96201001966767996</v>
      </c>
      <c r="G250" s="6">
        <v>90.994202960937898</v>
      </c>
      <c r="H250" s="6">
        <v>72.129833300494994</v>
      </c>
      <c r="I250" t="str">
        <f t="shared" si="3"/>
        <v>room</v>
      </c>
      <c r="J250" t="s">
        <v>980</v>
      </c>
    </row>
    <row r="251" spans="1:10" hidden="1" x14ac:dyDescent="0.2">
      <c r="A251" s="3" t="s">
        <v>898</v>
      </c>
      <c r="B251" s="6">
        <v>359.576171875</v>
      </c>
      <c r="C251" s="6">
        <v>16.894890360287398</v>
      </c>
      <c r="D251" s="6">
        <v>33.980246149440802</v>
      </c>
      <c r="E251" s="6">
        <v>41.498260763503403</v>
      </c>
      <c r="F251" s="6">
        <v>0.96342257488961003</v>
      </c>
      <c r="G251" s="6">
        <v>91.409732788417301</v>
      </c>
      <c r="H251" s="6">
        <v>72.806186744361199</v>
      </c>
      <c r="I251" t="str">
        <f t="shared" si="3"/>
        <v>room</v>
      </c>
      <c r="J251" t="s">
        <v>980</v>
      </c>
    </row>
    <row r="252" spans="1:10" hidden="1" x14ac:dyDescent="0.2">
      <c r="A252" s="3" t="s">
        <v>899</v>
      </c>
      <c r="B252" s="6">
        <v>386.6259765625</v>
      </c>
      <c r="C252" s="6">
        <v>15.7128604084313</v>
      </c>
      <c r="D252" s="6">
        <v>34.299560408501897</v>
      </c>
      <c r="E252" s="6">
        <v>41.820926075384598</v>
      </c>
      <c r="F252" s="6">
        <v>0.96565336962984105</v>
      </c>
      <c r="G252" s="6">
        <v>92.045597382123205</v>
      </c>
      <c r="H252" s="6">
        <v>73.894786676300598</v>
      </c>
      <c r="I252" t="str">
        <f t="shared" si="3"/>
        <v>room</v>
      </c>
      <c r="J252" t="s">
        <v>980</v>
      </c>
    </row>
    <row r="253" spans="1:10" hidden="1" x14ac:dyDescent="0.2">
      <c r="A253" s="3" t="s">
        <v>900</v>
      </c>
      <c r="B253" s="6">
        <v>413.4375</v>
      </c>
      <c r="C253" s="6">
        <v>14.6938775510204</v>
      </c>
      <c r="D253" s="6">
        <v>34.586639499323901</v>
      </c>
      <c r="E253" s="6">
        <v>42.108500585236797</v>
      </c>
      <c r="F253" s="6">
        <v>0.96750728373313599</v>
      </c>
      <c r="G253" s="6">
        <v>92.612109462332498</v>
      </c>
      <c r="H253" s="6">
        <v>74.818922348868696</v>
      </c>
      <c r="I253" t="str">
        <f t="shared" si="3"/>
        <v>room</v>
      </c>
      <c r="J253" t="s">
        <v>980</v>
      </c>
    </row>
    <row r="254" spans="1:10" hidden="1" x14ac:dyDescent="0.2">
      <c r="A254" s="3" t="s">
        <v>901</v>
      </c>
      <c r="B254" s="6">
        <v>437.0390625</v>
      </c>
      <c r="C254" s="6">
        <v>13.9003593071272</v>
      </c>
      <c r="D254" s="6">
        <v>34.900308853398798</v>
      </c>
      <c r="E254" s="6">
        <v>42.422112039621403</v>
      </c>
      <c r="F254" s="6">
        <v>0.96936964247920898</v>
      </c>
      <c r="G254" s="6">
        <v>93.229732792678206</v>
      </c>
      <c r="H254" s="6">
        <v>75.765430248180806</v>
      </c>
      <c r="I254" t="str">
        <f t="shared" si="3"/>
        <v>room</v>
      </c>
      <c r="J254" t="s">
        <v>980</v>
      </c>
    </row>
    <row r="255" spans="1:10" hidden="1" x14ac:dyDescent="0.2">
      <c r="A255" s="3" t="s">
        <v>902</v>
      </c>
      <c r="B255" s="6">
        <v>483.2939453125</v>
      </c>
      <c r="C255" s="6">
        <v>12.5699898765996</v>
      </c>
      <c r="D255" s="6">
        <v>35.317950547936398</v>
      </c>
      <c r="E255" s="6">
        <v>42.839150683978403</v>
      </c>
      <c r="F255" s="6">
        <v>0.97182083665158303</v>
      </c>
      <c r="G255" s="6">
        <v>94.050803657629103</v>
      </c>
      <c r="H255" s="6">
        <v>77.039576900690506</v>
      </c>
      <c r="I255" t="str">
        <f t="shared" si="3"/>
        <v>room</v>
      </c>
      <c r="J255" t="s">
        <v>980</v>
      </c>
    </row>
    <row r="256" spans="1:10" hidden="1" x14ac:dyDescent="0.2">
      <c r="A256" s="3" t="s">
        <v>903</v>
      </c>
      <c r="B256" s="6">
        <v>544.2255859375</v>
      </c>
      <c r="C256" s="6">
        <v>11.1626504835031</v>
      </c>
      <c r="D256" s="6">
        <v>35.833656635140201</v>
      </c>
      <c r="E256" s="6">
        <v>43.3553710376857</v>
      </c>
      <c r="F256" s="6">
        <v>0.97466015891424296</v>
      </c>
      <c r="G256" s="6">
        <v>95.066843308282003</v>
      </c>
      <c r="H256" s="6">
        <v>78.556842758350101</v>
      </c>
      <c r="I256" t="str">
        <f t="shared" si="3"/>
        <v>room</v>
      </c>
      <c r="J256" t="s">
        <v>980</v>
      </c>
    </row>
    <row r="257" spans="1:10" hidden="1" x14ac:dyDescent="0.2">
      <c r="A257" s="3" t="s">
        <v>904</v>
      </c>
      <c r="B257" s="6">
        <v>615.923828125</v>
      </c>
      <c r="C257" s="6">
        <v>9.8632326313686605</v>
      </c>
      <c r="D257" s="6">
        <v>36.452788403028002</v>
      </c>
      <c r="E257" s="6">
        <v>43.974681544353601</v>
      </c>
      <c r="F257" s="6">
        <v>0.97783100489028496</v>
      </c>
      <c r="G257" s="6">
        <v>96.285459339674901</v>
      </c>
      <c r="H257" s="6">
        <v>80.305374665058295</v>
      </c>
      <c r="I257" t="str">
        <f t="shared" si="3"/>
        <v>room</v>
      </c>
      <c r="J257" t="s">
        <v>980</v>
      </c>
    </row>
    <row r="258" spans="1:10" hidden="1" x14ac:dyDescent="0.2">
      <c r="A258" s="3" t="s">
        <v>905</v>
      </c>
      <c r="B258" s="6">
        <v>463.828125</v>
      </c>
      <c r="C258" s="6">
        <v>13.097524002021199</v>
      </c>
      <c r="D258" s="6">
        <v>33.950425333039298</v>
      </c>
      <c r="E258" s="6">
        <v>35.6832342849196</v>
      </c>
      <c r="F258" s="6">
        <v>0.96374489037361399</v>
      </c>
      <c r="G258" s="6">
        <v>79.755879204106904</v>
      </c>
      <c r="H258" s="6">
        <v>72.961914333833903</v>
      </c>
      <c r="I258" t="str">
        <f t="shared" si="3"/>
        <v>scratches</v>
      </c>
      <c r="J258" t="s">
        <v>980</v>
      </c>
    </row>
    <row r="259" spans="1:10" hidden="1" x14ac:dyDescent="0.2">
      <c r="A259" s="3" t="s">
        <v>906</v>
      </c>
      <c r="B259" s="6">
        <v>481.517578125</v>
      </c>
      <c r="C259" s="6">
        <v>12.6163618442668</v>
      </c>
      <c r="D259" s="6">
        <v>34.1115290667369</v>
      </c>
      <c r="E259" s="6">
        <v>35.844304501229303</v>
      </c>
      <c r="F259" s="6">
        <v>0.96497076775657498</v>
      </c>
      <c r="G259" s="6">
        <v>80.092421989225798</v>
      </c>
      <c r="H259" s="6">
        <v>73.558996318873596</v>
      </c>
      <c r="I259" t="str">
        <f t="shared" ref="I259:I304" si="4">MID(A259,1,(FIND(".ppm",A259))-1)</f>
        <v>scratches</v>
      </c>
      <c r="J259" t="s">
        <v>980</v>
      </c>
    </row>
    <row r="260" spans="1:10" hidden="1" x14ac:dyDescent="0.2">
      <c r="A260" s="3" t="s">
        <v>907</v>
      </c>
      <c r="B260" s="6">
        <v>498.0546875</v>
      </c>
      <c r="C260" s="6">
        <v>12.1974557261847</v>
      </c>
      <c r="D260" s="6">
        <v>34.270560051596199</v>
      </c>
      <c r="E260" s="6">
        <v>36.003311570529497</v>
      </c>
      <c r="F260" s="6">
        <v>0.96610098256977495</v>
      </c>
      <c r="G260" s="6">
        <v>80.422976073670995</v>
      </c>
      <c r="H260" s="6">
        <v>74.116279522071906</v>
      </c>
      <c r="I260" t="str">
        <f t="shared" si="4"/>
        <v>scratches</v>
      </c>
      <c r="J260" t="s">
        <v>980</v>
      </c>
    </row>
    <row r="261" spans="1:10" hidden="1" x14ac:dyDescent="0.2">
      <c r="A261" s="3" t="s">
        <v>908</v>
      </c>
      <c r="B261" s="6">
        <v>520.0205078125</v>
      </c>
      <c r="C261" s="6">
        <v>11.6822315826637</v>
      </c>
      <c r="D261" s="6">
        <v>34.457879821896</v>
      </c>
      <c r="E261" s="6">
        <v>36.190523790379203</v>
      </c>
      <c r="F261" s="6">
        <v>0.96739783673023905</v>
      </c>
      <c r="G261" s="6">
        <v>80.810217792154006</v>
      </c>
      <c r="H261" s="6">
        <v>74.763867943951695</v>
      </c>
      <c r="I261" t="str">
        <f t="shared" si="4"/>
        <v>scratches</v>
      </c>
      <c r="J261" t="s">
        <v>980</v>
      </c>
    </row>
    <row r="262" spans="1:10" hidden="1" x14ac:dyDescent="0.2">
      <c r="A262" s="3" t="s">
        <v>909</v>
      </c>
      <c r="B262" s="6">
        <v>538.244140625</v>
      </c>
      <c r="C262" s="6">
        <v>11.2866997361937</v>
      </c>
      <c r="D262" s="6">
        <v>34.636448225089403</v>
      </c>
      <c r="E262" s="6">
        <v>36.369046406053798</v>
      </c>
      <c r="F262" s="6">
        <v>0.96854458711735503</v>
      </c>
      <c r="G262" s="6">
        <v>81.177704625387193</v>
      </c>
      <c r="H262" s="6">
        <v>75.343842231483904</v>
      </c>
      <c r="I262" t="str">
        <f t="shared" si="4"/>
        <v>scratches</v>
      </c>
      <c r="J262" t="s">
        <v>980</v>
      </c>
    </row>
    <row r="263" spans="1:10" hidden="1" x14ac:dyDescent="0.2">
      <c r="A263" s="3" t="s">
        <v>910</v>
      </c>
      <c r="B263" s="6">
        <v>561.7529296875</v>
      </c>
      <c r="C263" s="6">
        <v>10.8143628256278</v>
      </c>
      <c r="D263" s="6">
        <v>34.843841895479301</v>
      </c>
      <c r="E263" s="6">
        <v>36.576399968071399</v>
      </c>
      <c r="F263" s="6">
        <v>0.96987742345903905</v>
      </c>
      <c r="G263" s="6">
        <v>81.602576482506194</v>
      </c>
      <c r="H263" s="6">
        <v>76.026707137421198</v>
      </c>
      <c r="I263" t="str">
        <f t="shared" si="4"/>
        <v>scratches</v>
      </c>
      <c r="J263" t="s">
        <v>980</v>
      </c>
    </row>
    <row r="264" spans="1:10" hidden="1" x14ac:dyDescent="0.2">
      <c r="A264" s="3" t="s">
        <v>911</v>
      </c>
      <c r="B264" s="6">
        <v>586.923828125</v>
      </c>
      <c r="C264" s="6">
        <v>10.3505765295087</v>
      </c>
      <c r="D264" s="6">
        <v>35.079147540529803</v>
      </c>
      <c r="E264" s="6">
        <v>36.8116950197726</v>
      </c>
      <c r="F264" s="6">
        <v>0.97125547013160995</v>
      </c>
      <c r="G264" s="6">
        <v>82.082422787292003</v>
      </c>
      <c r="H264" s="6">
        <v>76.742795557700703</v>
      </c>
      <c r="I264" t="str">
        <f t="shared" si="4"/>
        <v>scratches</v>
      </c>
      <c r="J264" t="s">
        <v>980</v>
      </c>
    </row>
    <row r="265" spans="1:10" hidden="1" x14ac:dyDescent="0.2">
      <c r="A265" s="3" t="s">
        <v>912</v>
      </c>
      <c r="B265" s="6">
        <v>612.9736328125</v>
      </c>
      <c r="C265" s="6">
        <v>9.9107036172602498</v>
      </c>
      <c r="D265" s="6">
        <v>35.3118879290775</v>
      </c>
      <c r="E265" s="6">
        <v>37.044389950801602</v>
      </c>
      <c r="F265" s="6">
        <v>0.97257209758122498</v>
      </c>
      <c r="G265" s="6">
        <v>82.554865152842893</v>
      </c>
      <c r="H265" s="6">
        <v>77.436662770606702</v>
      </c>
      <c r="I265" t="str">
        <f t="shared" si="4"/>
        <v>scratches</v>
      </c>
      <c r="J265" t="s">
        <v>980</v>
      </c>
    </row>
    <row r="266" spans="1:10" hidden="1" x14ac:dyDescent="0.2">
      <c r="A266" s="3" t="s">
        <v>913</v>
      </c>
      <c r="B266" s="6">
        <v>650.794921875</v>
      </c>
      <c r="C266" s="6">
        <v>9.3347378656510802</v>
      </c>
      <c r="D266" s="6">
        <v>35.5963664382286</v>
      </c>
      <c r="E266" s="6">
        <v>37.328808957949903</v>
      </c>
      <c r="F266" s="6">
        <v>0.97412535438387904</v>
      </c>
      <c r="G266" s="6">
        <v>83.129855715144302</v>
      </c>
      <c r="H266" s="6">
        <v>78.267603365970402</v>
      </c>
      <c r="I266" t="str">
        <f t="shared" si="4"/>
        <v>scratches</v>
      </c>
      <c r="J266" t="s">
        <v>980</v>
      </c>
    </row>
    <row r="267" spans="1:10" hidden="1" x14ac:dyDescent="0.2">
      <c r="A267" s="3" t="s">
        <v>914</v>
      </c>
      <c r="B267" s="6">
        <v>679.0869140625</v>
      </c>
      <c r="C267" s="6">
        <v>8.9458357600465899</v>
      </c>
      <c r="D267" s="6">
        <v>35.875888810885897</v>
      </c>
      <c r="E267" s="6">
        <v>37.608280253586798</v>
      </c>
      <c r="F267" s="6">
        <v>0.97552855569371999</v>
      </c>
      <c r="G267" s="6">
        <v>83.692564688874</v>
      </c>
      <c r="H267" s="6">
        <v>79.029958951962499</v>
      </c>
      <c r="I267" t="str">
        <f t="shared" si="4"/>
        <v>scratches</v>
      </c>
      <c r="J267" t="s">
        <v>980</v>
      </c>
    </row>
    <row r="268" spans="1:10" hidden="1" x14ac:dyDescent="0.2">
      <c r="A268" s="3" t="s">
        <v>915</v>
      </c>
      <c r="B268" s="6">
        <v>728.7822265625</v>
      </c>
      <c r="C268" s="6">
        <v>8.3358234855073103</v>
      </c>
      <c r="D268" s="6">
        <v>36.241857399688101</v>
      </c>
      <c r="E268" s="6">
        <v>37.974192123635902</v>
      </c>
      <c r="F268" s="6">
        <v>0.97726246649817805</v>
      </c>
      <c r="G268" s="6">
        <v>84.426448393214201</v>
      </c>
      <c r="H268" s="6">
        <v>79.987576366150094</v>
      </c>
      <c r="I268" t="str">
        <f t="shared" si="4"/>
        <v>scratches</v>
      </c>
      <c r="J268" t="s">
        <v>980</v>
      </c>
    </row>
    <row r="269" spans="1:10" hidden="1" x14ac:dyDescent="0.2">
      <c r="A269" s="3" t="s">
        <v>916</v>
      </c>
      <c r="B269" s="6">
        <v>776.365234375</v>
      </c>
      <c r="C269" s="6">
        <v>7.8249253457241403</v>
      </c>
      <c r="D269" s="6">
        <v>36.626659957996701</v>
      </c>
      <c r="E269" s="6">
        <v>38.358942020092002</v>
      </c>
      <c r="F269" s="6">
        <v>0.97895462586259396</v>
      </c>
      <c r="G269" s="6">
        <v>85.1952171974484</v>
      </c>
      <c r="H269" s="6">
        <v>80.939039824153497</v>
      </c>
      <c r="I269" t="str">
        <f t="shared" si="4"/>
        <v>scratches</v>
      </c>
      <c r="J269" t="s">
        <v>980</v>
      </c>
    </row>
    <row r="270" spans="1:10" hidden="1" x14ac:dyDescent="0.2">
      <c r="A270" s="3" t="s">
        <v>917</v>
      </c>
      <c r="B270" s="6">
        <v>819.0498046875</v>
      </c>
      <c r="C270" s="6">
        <v>7.4171313700732204</v>
      </c>
      <c r="D270" s="6">
        <v>37.019663728155798</v>
      </c>
      <c r="E270" s="6">
        <v>38.751901431813103</v>
      </c>
      <c r="F270" s="6">
        <v>0.98050162115079298</v>
      </c>
      <c r="G270" s="6">
        <v>85.977916685021796</v>
      </c>
      <c r="H270" s="6">
        <v>81.823755016010196</v>
      </c>
      <c r="I270" t="str">
        <f t="shared" si="4"/>
        <v>scratches</v>
      </c>
      <c r="J270" t="s">
        <v>980</v>
      </c>
    </row>
    <row r="271" spans="1:10" hidden="1" x14ac:dyDescent="0.2">
      <c r="A271" s="3" t="s">
        <v>918</v>
      </c>
      <c r="B271" s="6">
        <v>898.3583984375</v>
      </c>
      <c r="C271" s="6">
        <v>6.7623345098862</v>
      </c>
      <c r="D271" s="6">
        <v>37.565101163395703</v>
      </c>
      <c r="E271" s="6">
        <v>39.2972943659463</v>
      </c>
      <c r="F271" s="6">
        <v>0.98255651823700296</v>
      </c>
      <c r="G271" s="6">
        <v>87.061001520272896</v>
      </c>
      <c r="H271" s="6">
        <v>83.021325972709505</v>
      </c>
      <c r="I271" t="str">
        <f t="shared" si="4"/>
        <v>scratches</v>
      </c>
      <c r="J271" t="s">
        <v>980</v>
      </c>
    </row>
    <row r="272" spans="1:10" hidden="1" x14ac:dyDescent="0.2">
      <c r="A272" s="3" t="s">
        <v>919</v>
      </c>
      <c r="B272" s="6">
        <v>994.50390625</v>
      </c>
      <c r="C272" s="6">
        <v>6.1085732914887698</v>
      </c>
      <c r="D272" s="6">
        <v>38.199286917282002</v>
      </c>
      <c r="E272" s="6">
        <v>39.931441989467203</v>
      </c>
      <c r="F272" s="6">
        <v>0.98469784563481499</v>
      </c>
      <c r="G272" s="6">
        <v>88.316819296606994</v>
      </c>
      <c r="H272" s="6">
        <v>84.297013047182404</v>
      </c>
      <c r="I272" t="str">
        <f t="shared" si="4"/>
        <v>scratches</v>
      </c>
      <c r="J272" t="s">
        <v>980</v>
      </c>
    </row>
    <row r="273" spans="1:10" hidden="1" x14ac:dyDescent="0.2">
      <c r="A273" s="3" t="s">
        <v>920</v>
      </c>
      <c r="B273" s="6">
        <v>1107.6630859375</v>
      </c>
      <c r="C273" s="6">
        <v>5.4845196857474603</v>
      </c>
      <c r="D273" s="6">
        <v>38.963834503017097</v>
      </c>
      <c r="E273" s="6">
        <v>40.695973251166798</v>
      </c>
      <c r="F273" s="6">
        <v>0.98693261974955604</v>
      </c>
      <c r="G273" s="6">
        <v>89.827338470722097</v>
      </c>
      <c r="H273" s="6">
        <v>85.659267836764897</v>
      </c>
      <c r="I273" t="str">
        <f t="shared" si="4"/>
        <v>scratches</v>
      </c>
      <c r="J273" t="s">
        <v>980</v>
      </c>
    </row>
    <row r="274" spans="1:10" hidden="1" x14ac:dyDescent="0.2">
      <c r="A274" s="3" t="s">
        <v>921</v>
      </c>
      <c r="B274" s="6">
        <v>261.6826171875</v>
      </c>
      <c r="C274" s="6">
        <v>23.215145374548001</v>
      </c>
      <c r="D274" s="6">
        <v>34.198203281885903</v>
      </c>
      <c r="E274" s="6">
        <v>39.543476720896699</v>
      </c>
      <c r="F274" s="6">
        <v>0.98420900298759695</v>
      </c>
      <c r="G274" s="6">
        <v>87.548907175676604</v>
      </c>
      <c r="H274" s="6">
        <v>84.003259579998897</v>
      </c>
      <c r="I274" t="str">
        <f t="shared" si="4"/>
        <v>shop</v>
      </c>
      <c r="J274" t="s">
        <v>980</v>
      </c>
    </row>
    <row r="275" spans="1:10" hidden="1" x14ac:dyDescent="0.2">
      <c r="A275" s="3" t="s">
        <v>922</v>
      </c>
      <c r="B275" s="6">
        <v>269.7578125</v>
      </c>
      <c r="C275" s="6">
        <v>22.520200411248499</v>
      </c>
      <c r="D275" s="6">
        <v>34.395427745946797</v>
      </c>
      <c r="E275" s="6">
        <v>39.739113193996502</v>
      </c>
      <c r="F275" s="6">
        <v>0.98460699705954002</v>
      </c>
      <c r="G275" s="6">
        <v>87.936275943088702</v>
      </c>
      <c r="H275" s="6">
        <v>84.242306710647696</v>
      </c>
      <c r="I275" t="str">
        <f t="shared" si="4"/>
        <v>shop</v>
      </c>
      <c r="J275" t="s">
        <v>980</v>
      </c>
    </row>
    <row r="276" spans="1:10" hidden="1" x14ac:dyDescent="0.2">
      <c r="A276" s="3" t="s">
        <v>923</v>
      </c>
      <c r="B276" s="6">
        <v>278.013671875</v>
      </c>
      <c r="C276" s="6">
        <v>21.8514433445972</v>
      </c>
      <c r="D276" s="6">
        <v>34.579923571108601</v>
      </c>
      <c r="E276" s="6">
        <v>39.924026578865302</v>
      </c>
      <c r="F276" s="6">
        <v>0.98500982831221695</v>
      </c>
      <c r="G276" s="6">
        <v>88.302151821097496</v>
      </c>
      <c r="H276" s="6">
        <v>84.485277048313904</v>
      </c>
      <c r="I276" t="str">
        <f t="shared" si="4"/>
        <v>shop</v>
      </c>
      <c r="J276" t="s">
        <v>980</v>
      </c>
    </row>
    <row r="277" spans="1:10" hidden="1" x14ac:dyDescent="0.2">
      <c r="A277" s="3" t="s">
        <v>924</v>
      </c>
      <c r="B277" s="6">
        <v>289.1796875</v>
      </c>
      <c r="C277" s="6">
        <v>21.007699581250801</v>
      </c>
      <c r="D277" s="6">
        <v>34.794604883560503</v>
      </c>
      <c r="E277" s="6">
        <v>40.139298670250398</v>
      </c>
      <c r="F277" s="6">
        <v>0.985519045531011</v>
      </c>
      <c r="G277" s="6">
        <v>88.7278112901204</v>
      </c>
      <c r="H277" s="6">
        <v>84.793886989855295</v>
      </c>
      <c r="I277" t="str">
        <f t="shared" si="4"/>
        <v>shop</v>
      </c>
      <c r="J277" t="s">
        <v>980</v>
      </c>
    </row>
    <row r="278" spans="1:10" hidden="1" x14ac:dyDescent="0.2">
      <c r="A278" s="3" t="s">
        <v>925</v>
      </c>
      <c r="B278" s="6">
        <v>298.150390625</v>
      </c>
      <c r="C278" s="6">
        <v>20.3756231453034</v>
      </c>
      <c r="D278" s="6">
        <v>35.027921869333497</v>
      </c>
      <c r="E278" s="6">
        <v>40.374309759987703</v>
      </c>
      <c r="F278" s="6">
        <v>0.98617189270043304</v>
      </c>
      <c r="G278" s="6">
        <v>89.192190158997207</v>
      </c>
      <c r="H278" s="6">
        <v>85.191961806059695</v>
      </c>
      <c r="I278" t="str">
        <f t="shared" si="4"/>
        <v>shop</v>
      </c>
      <c r="J278" t="s">
        <v>980</v>
      </c>
    </row>
    <row r="279" spans="1:10" hidden="1" x14ac:dyDescent="0.2">
      <c r="A279" s="3" t="s">
        <v>926</v>
      </c>
      <c r="B279" s="6">
        <v>308.6083984375</v>
      </c>
      <c r="C279" s="6">
        <v>19.685141528092</v>
      </c>
      <c r="D279" s="6">
        <v>35.269483661106399</v>
      </c>
      <c r="E279" s="6">
        <v>40.6159505957432</v>
      </c>
      <c r="F279" s="6">
        <v>0.98670498976015297</v>
      </c>
      <c r="G279" s="6">
        <v>89.669372621836104</v>
      </c>
      <c r="H279" s="6">
        <v>85.519046203012707</v>
      </c>
      <c r="I279" t="str">
        <f t="shared" si="4"/>
        <v>shop</v>
      </c>
      <c r="J279" t="s">
        <v>980</v>
      </c>
    </row>
    <row r="280" spans="1:10" hidden="1" x14ac:dyDescent="0.2">
      <c r="A280" s="3" t="s">
        <v>927</v>
      </c>
      <c r="B280" s="6">
        <v>321.9560546875</v>
      </c>
      <c r="C280" s="6">
        <v>18.8690348000959</v>
      </c>
      <c r="D280" s="6">
        <v>35.529610876082401</v>
      </c>
      <c r="E280" s="6">
        <v>40.8757706573831</v>
      </c>
      <c r="F280" s="6">
        <v>0.98720920178113303</v>
      </c>
      <c r="G280" s="6">
        <v>90.182162705627107</v>
      </c>
      <c r="H280" s="6">
        <v>85.830095382539895</v>
      </c>
      <c r="I280" t="str">
        <f t="shared" si="4"/>
        <v>shop</v>
      </c>
      <c r="J280" t="s">
        <v>980</v>
      </c>
    </row>
    <row r="281" spans="1:10" hidden="1" x14ac:dyDescent="0.2">
      <c r="A281" s="3" t="s">
        <v>928</v>
      </c>
      <c r="B281" s="6">
        <v>333.1533203125</v>
      </c>
      <c r="C281" s="6">
        <v>18.234847529964899</v>
      </c>
      <c r="D281" s="6">
        <v>35.767310793348102</v>
      </c>
      <c r="E281" s="6">
        <v>41.110786674883002</v>
      </c>
      <c r="F281" s="6">
        <v>0.98765008494559203</v>
      </c>
      <c r="G281" s="6">
        <v>90.645771990230998</v>
      </c>
      <c r="H281" s="6">
        <v>86.103428211579299</v>
      </c>
      <c r="I281" t="str">
        <f t="shared" si="4"/>
        <v>shop</v>
      </c>
      <c r="J281" t="s">
        <v>980</v>
      </c>
    </row>
    <row r="282" spans="1:10" hidden="1" x14ac:dyDescent="0.2">
      <c r="A282" s="3" t="s">
        <v>929</v>
      </c>
      <c r="B282" s="6">
        <v>354.0205078125</v>
      </c>
      <c r="C282" s="6">
        <v>17.160022840308201</v>
      </c>
      <c r="D282" s="6">
        <v>36.082265782282299</v>
      </c>
      <c r="E282" s="6">
        <v>41.426538512883397</v>
      </c>
      <c r="F282" s="6">
        <v>0.98823573136875398</v>
      </c>
      <c r="G282" s="6">
        <v>91.268355696029701</v>
      </c>
      <c r="H282" s="6">
        <v>86.468469722840197</v>
      </c>
      <c r="I282" t="str">
        <f t="shared" si="4"/>
        <v>shop</v>
      </c>
      <c r="J282" t="s">
        <v>980</v>
      </c>
    </row>
    <row r="283" spans="1:10" hidden="1" x14ac:dyDescent="0.2">
      <c r="A283" s="3" t="s">
        <v>930</v>
      </c>
      <c r="B283" s="6">
        <v>367.212890625</v>
      </c>
      <c r="C283" s="6">
        <v>16.543536883087899</v>
      </c>
      <c r="D283" s="6">
        <v>36.367569309505797</v>
      </c>
      <c r="E283" s="6">
        <v>41.711942764808903</v>
      </c>
      <c r="F283" s="6">
        <v>0.98871575632077202</v>
      </c>
      <c r="G283" s="6">
        <v>91.830856618457801</v>
      </c>
      <c r="H283" s="6">
        <v>86.769352861273305</v>
      </c>
      <c r="I283" t="str">
        <f t="shared" si="4"/>
        <v>shop</v>
      </c>
      <c r="J283" t="s">
        <v>980</v>
      </c>
    </row>
    <row r="284" spans="1:10" hidden="1" x14ac:dyDescent="0.2">
      <c r="A284" s="3" t="s">
        <v>226</v>
      </c>
      <c r="B284" s="6">
        <v>393.203125</v>
      </c>
      <c r="C284" s="6">
        <v>15.4500298032982</v>
      </c>
      <c r="D284" s="6">
        <v>36.767153184022497</v>
      </c>
      <c r="E284" s="6">
        <v>42.113926338491503</v>
      </c>
      <c r="F284" s="6">
        <v>0.98941928181009198</v>
      </c>
      <c r="G284" s="6">
        <v>92.622796400903695</v>
      </c>
      <c r="H284" s="6">
        <v>87.213074518129403</v>
      </c>
      <c r="I284" t="str">
        <f t="shared" si="4"/>
        <v>shop</v>
      </c>
      <c r="J284" t="s">
        <v>980</v>
      </c>
    </row>
    <row r="285" spans="1:10" hidden="1" x14ac:dyDescent="0.2">
      <c r="A285" s="3" t="s">
        <v>227</v>
      </c>
      <c r="B285" s="6">
        <v>418.5244140625</v>
      </c>
      <c r="C285" s="6">
        <v>14.515282253266101</v>
      </c>
      <c r="D285" s="6">
        <v>37.139689883999999</v>
      </c>
      <c r="E285" s="6">
        <v>42.486777456957</v>
      </c>
      <c r="F285" s="6">
        <v>0.99002121613493299</v>
      </c>
      <c r="G285" s="6">
        <v>93.357063603287301</v>
      </c>
      <c r="H285" s="6">
        <v>87.595330058959206</v>
      </c>
      <c r="I285" t="str">
        <f t="shared" si="4"/>
        <v>shop</v>
      </c>
      <c r="J285" t="s">
        <v>980</v>
      </c>
    </row>
    <row r="286" spans="1:10" hidden="1" x14ac:dyDescent="0.2">
      <c r="A286" s="3" t="s">
        <v>228</v>
      </c>
      <c r="B286" s="6">
        <v>438.052734375</v>
      </c>
      <c r="C286" s="6">
        <v>13.8681933093458</v>
      </c>
      <c r="D286" s="6">
        <v>37.528995532323798</v>
      </c>
      <c r="E286" s="6">
        <v>42.876133991217301</v>
      </c>
      <c r="F286" s="6">
        <v>0.99051337333385903</v>
      </c>
      <c r="G286" s="6">
        <v>94.123605395288905</v>
      </c>
      <c r="H286" s="6">
        <v>87.909671076274904</v>
      </c>
      <c r="I286" t="str">
        <f t="shared" si="4"/>
        <v>shop</v>
      </c>
      <c r="J286" t="s">
        <v>980</v>
      </c>
    </row>
    <row r="287" spans="1:10" hidden="1" x14ac:dyDescent="0.2">
      <c r="A287" s="3" t="s">
        <v>229</v>
      </c>
      <c r="B287" s="6">
        <v>483.849609375</v>
      </c>
      <c r="C287" s="6">
        <v>12.555554210010101</v>
      </c>
      <c r="D287" s="6">
        <v>38.019941918569998</v>
      </c>
      <c r="E287" s="6">
        <v>43.366705506973801</v>
      </c>
      <c r="F287" s="6">
        <v>0.99121724355966501</v>
      </c>
      <c r="G287" s="6">
        <v>95.0891490182307</v>
      </c>
      <c r="H287" s="6">
        <v>88.362063682477995</v>
      </c>
      <c r="I287" t="str">
        <f t="shared" si="4"/>
        <v>shop</v>
      </c>
      <c r="J287" t="s">
        <v>980</v>
      </c>
    </row>
    <row r="288" spans="1:10" hidden="1" x14ac:dyDescent="0.2">
      <c r="A288" s="3" t="s">
        <v>230</v>
      </c>
      <c r="B288" s="6">
        <v>536.7373046875</v>
      </c>
      <c r="C288" s="6">
        <v>11.318386009217299</v>
      </c>
      <c r="D288" s="6">
        <v>38.561290331266001</v>
      </c>
      <c r="E288" s="6">
        <v>43.908513411730297</v>
      </c>
      <c r="F288" s="6">
        <v>0.99187549031682798</v>
      </c>
      <c r="G288" s="6">
        <v>96.155274322824098</v>
      </c>
      <c r="H288" s="6">
        <v>88.788167388368905</v>
      </c>
      <c r="I288" t="str">
        <f t="shared" si="4"/>
        <v>shop</v>
      </c>
      <c r="J288" t="s">
        <v>980</v>
      </c>
    </row>
    <row r="289" spans="1:10" hidden="1" x14ac:dyDescent="0.2">
      <c r="A289" s="3" t="s">
        <v>231</v>
      </c>
      <c r="B289" s="6">
        <v>601.09765625</v>
      </c>
      <c r="C289" s="6">
        <v>10.1065108752867</v>
      </c>
      <c r="D289" s="6">
        <v>39.155172273796303</v>
      </c>
      <c r="E289" s="6">
        <v>44.502560204532202</v>
      </c>
      <c r="F289" s="6">
        <v>0.99258995038096598</v>
      </c>
      <c r="G289" s="6">
        <v>97.323958702668804</v>
      </c>
      <c r="H289" s="6">
        <v>89.254003129537296</v>
      </c>
      <c r="I289" t="str">
        <f t="shared" si="4"/>
        <v>shop</v>
      </c>
      <c r="J289" t="s">
        <v>980</v>
      </c>
    </row>
    <row r="290" spans="1:10" hidden="1" x14ac:dyDescent="0.2">
      <c r="A290" s="3" t="s">
        <v>931</v>
      </c>
      <c r="B290" s="6">
        <v>388.6787109375</v>
      </c>
      <c r="C290" s="6">
        <v>15.629875856454801</v>
      </c>
      <c r="D290" s="6">
        <v>30.859376517278399</v>
      </c>
      <c r="E290" s="6">
        <v>37.186759053800799</v>
      </c>
      <c r="F290" s="6">
        <v>0.96570264282399099</v>
      </c>
      <c r="G290" s="6">
        <v>82.842999060639798</v>
      </c>
      <c r="H290" s="6">
        <v>73.919118022732803</v>
      </c>
      <c r="I290" t="str">
        <f t="shared" si="4"/>
        <v>street</v>
      </c>
      <c r="J290" t="s">
        <v>980</v>
      </c>
    </row>
    <row r="291" spans="1:10" hidden="1" x14ac:dyDescent="0.2">
      <c r="A291" s="3" t="s">
        <v>932</v>
      </c>
      <c r="B291" s="6">
        <v>402.88671875</v>
      </c>
      <c r="C291" s="6">
        <v>15.0786802276539</v>
      </c>
      <c r="D291" s="6">
        <v>31.067048150755699</v>
      </c>
      <c r="E291" s="6">
        <v>37.392381788213903</v>
      </c>
      <c r="F291" s="6">
        <v>0.96704196558608202</v>
      </c>
      <c r="G291" s="6">
        <v>83.258043839455297</v>
      </c>
      <c r="H291" s="6">
        <v>74.585290059287402</v>
      </c>
      <c r="I291" t="str">
        <f t="shared" si="4"/>
        <v>street</v>
      </c>
      <c r="J291" t="s">
        <v>980</v>
      </c>
    </row>
    <row r="292" spans="1:10" hidden="1" x14ac:dyDescent="0.2">
      <c r="A292" s="3" t="s">
        <v>933</v>
      </c>
      <c r="B292" s="6">
        <v>415.3564453125</v>
      </c>
      <c r="C292" s="6">
        <v>14.6259918885558</v>
      </c>
      <c r="D292" s="6">
        <v>31.2423600812578</v>
      </c>
      <c r="E292" s="6">
        <v>37.568019229078601</v>
      </c>
      <c r="F292" s="6">
        <v>0.96803498542431499</v>
      </c>
      <c r="G292" s="6">
        <v>83.611626144752805</v>
      </c>
      <c r="H292" s="6">
        <v>75.085252288257195</v>
      </c>
      <c r="I292" t="str">
        <f t="shared" si="4"/>
        <v>street</v>
      </c>
      <c r="J292" t="s">
        <v>980</v>
      </c>
    </row>
    <row r="293" spans="1:10" hidden="1" x14ac:dyDescent="0.2">
      <c r="A293" s="3" t="s">
        <v>934</v>
      </c>
      <c r="B293" s="6">
        <v>432.6005859375</v>
      </c>
      <c r="C293" s="6">
        <v>14.042976818523501</v>
      </c>
      <c r="D293" s="6">
        <v>31.454537635613399</v>
      </c>
      <c r="E293" s="6">
        <v>37.780278811806902</v>
      </c>
      <c r="F293" s="6">
        <v>0.96927600742337505</v>
      </c>
      <c r="G293" s="6">
        <v>84.037902012177199</v>
      </c>
      <c r="H293" s="6">
        <v>75.717401685516705</v>
      </c>
      <c r="I293" t="str">
        <f t="shared" si="4"/>
        <v>street</v>
      </c>
      <c r="J293" t="s">
        <v>980</v>
      </c>
    </row>
    <row r="294" spans="1:10" hidden="1" x14ac:dyDescent="0.2">
      <c r="A294" s="3" t="s">
        <v>935</v>
      </c>
      <c r="B294" s="6">
        <v>446.5146484375</v>
      </c>
      <c r="C294" s="6">
        <v>13.605376713302499</v>
      </c>
      <c r="D294" s="6">
        <v>31.679326750283401</v>
      </c>
      <c r="E294" s="6">
        <v>38.006816696977701</v>
      </c>
      <c r="F294" s="6">
        <v>0.97064215687489896</v>
      </c>
      <c r="G294" s="6">
        <v>84.4917422011616</v>
      </c>
      <c r="H294" s="6">
        <v>76.422820652924898</v>
      </c>
      <c r="I294" t="str">
        <f t="shared" si="4"/>
        <v>street</v>
      </c>
      <c r="J294" t="s">
        <v>980</v>
      </c>
    </row>
    <row r="295" spans="1:10" hidden="1" x14ac:dyDescent="0.2">
      <c r="A295" s="3" t="s">
        <v>936</v>
      </c>
      <c r="B295" s="6">
        <v>464.0390625</v>
      </c>
      <c r="C295" s="6">
        <v>13.0915702813273</v>
      </c>
      <c r="D295" s="6">
        <v>31.9222718829988</v>
      </c>
      <c r="E295" s="6">
        <v>38.249714166718803</v>
      </c>
      <c r="F295" s="6">
        <v>0.971929051440378</v>
      </c>
      <c r="G295" s="6">
        <v>84.977235871300294</v>
      </c>
      <c r="H295" s="6">
        <v>77.096582871249197</v>
      </c>
      <c r="I295" t="str">
        <f t="shared" si="4"/>
        <v>street</v>
      </c>
      <c r="J295" t="s">
        <v>980</v>
      </c>
    </row>
    <row r="296" spans="1:10" hidden="1" x14ac:dyDescent="0.2">
      <c r="A296" s="3" t="s">
        <v>937</v>
      </c>
      <c r="B296" s="6">
        <v>484.515625</v>
      </c>
      <c r="C296" s="6">
        <v>12.538295333612799</v>
      </c>
      <c r="D296" s="6">
        <v>32.197539107676803</v>
      </c>
      <c r="E296" s="6">
        <v>38.525015047135703</v>
      </c>
      <c r="F296" s="6">
        <v>0.97331670077942101</v>
      </c>
      <c r="G296" s="6">
        <v>85.526276704129998</v>
      </c>
      <c r="H296" s="6">
        <v>77.833317466685699</v>
      </c>
      <c r="I296" t="str">
        <f t="shared" si="4"/>
        <v>street</v>
      </c>
      <c r="J296" t="s">
        <v>980</v>
      </c>
    </row>
    <row r="297" spans="1:10" hidden="1" x14ac:dyDescent="0.2">
      <c r="A297" s="3" t="s">
        <v>938</v>
      </c>
      <c r="B297" s="6">
        <v>502.701171875</v>
      </c>
      <c r="C297" s="6">
        <v>12.0847142196649</v>
      </c>
      <c r="D297" s="6">
        <v>32.452019140217402</v>
      </c>
      <c r="E297" s="6">
        <v>38.777093981173898</v>
      </c>
      <c r="F297" s="6">
        <v>0.97441979933392497</v>
      </c>
      <c r="G297" s="6">
        <v>86.028022308308707</v>
      </c>
      <c r="H297" s="6">
        <v>78.426648486846503</v>
      </c>
      <c r="I297" t="str">
        <f t="shared" si="4"/>
        <v>street</v>
      </c>
      <c r="J297" t="s">
        <v>980</v>
      </c>
    </row>
    <row r="298" spans="1:10" hidden="1" x14ac:dyDescent="0.2">
      <c r="A298" s="3" t="s">
        <v>939</v>
      </c>
      <c r="B298" s="6">
        <v>532.7158203125</v>
      </c>
      <c r="C298" s="6">
        <v>11.4038287739161</v>
      </c>
      <c r="D298" s="6">
        <v>32.793719650137497</v>
      </c>
      <c r="E298" s="6">
        <v>39.119588154558599</v>
      </c>
      <c r="F298" s="6">
        <v>0.97595864820899403</v>
      </c>
      <c r="G298" s="6">
        <v>86.708454543097602</v>
      </c>
      <c r="H298" s="6">
        <v>79.265876100315396</v>
      </c>
      <c r="I298" t="str">
        <f t="shared" si="4"/>
        <v>street</v>
      </c>
      <c r="J298" t="s">
        <v>980</v>
      </c>
    </row>
    <row r="299" spans="1:10" hidden="1" x14ac:dyDescent="0.2">
      <c r="A299" s="3" t="s">
        <v>940</v>
      </c>
      <c r="B299" s="6">
        <v>554.3134765625</v>
      </c>
      <c r="C299" s="6">
        <v>10.9595026223668</v>
      </c>
      <c r="D299" s="6">
        <v>33.119298634456598</v>
      </c>
      <c r="E299" s="6">
        <v>39.445318294969503</v>
      </c>
      <c r="F299" s="6">
        <v>0.977285777710169</v>
      </c>
      <c r="G299" s="6">
        <v>87.354432278984802</v>
      </c>
      <c r="H299" s="6">
        <v>80.000569588132507</v>
      </c>
      <c r="I299" t="str">
        <f t="shared" si="4"/>
        <v>street</v>
      </c>
      <c r="J299" t="s">
        <v>980</v>
      </c>
    </row>
    <row r="300" spans="1:10" hidden="1" x14ac:dyDescent="0.2">
      <c r="A300" s="3" t="s">
        <v>941</v>
      </c>
      <c r="B300" s="6">
        <v>591.361328125</v>
      </c>
      <c r="C300" s="6">
        <v>10.272907123064201</v>
      </c>
      <c r="D300" s="6">
        <v>33.540532873129699</v>
      </c>
      <c r="E300" s="6">
        <v>39.868185821780301</v>
      </c>
      <c r="F300" s="6">
        <v>0.97898976720848396</v>
      </c>
      <c r="G300" s="6">
        <v>88.191688503884293</v>
      </c>
      <c r="H300" s="6">
        <v>80.9589782208418</v>
      </c>
      <c r="I300" t="str">
        <f t="shared" si="4"/>
        <v>street</v>
      </c>
      <c r="J300" t="s">
        <v>980</v>
      </c>
    </row>
    <row r="301" spans="1:10" hidden="1" x14ac:dyDescent="0.2">
      <c r="A301" s="3" t="s">
        <v>942</v>
      </c>
      <c r="B301" s="6">
        <v>627.4462890625</v>
      </c>
      <c r="C301" s="6">
        <v>9.6821036412168002</v>
      </c>
      <c r="D301" s="6">
        <v>33.9642421955066</v>
      </c>
      <c r="E301" s="6">
        <v>40.292159614755299</v>
      </c>
      <c r="F301" s="6">
        <v>0.98058350784925796</v>
      </c>
      <c r="G301" s="6">
        <v>89.0298968905268</v>
      </c>
      <c r="H301" s="6">
        <v>81.870986071867705</v>
      </c>
      <c r="I301" t="str">
        <f t="shared" si="4"/>
        <v>street</v>
      </c>
      <c r="J301" t="s">
        <v>980</v>
      </c>
    </row>
    <row r="302" spans="1:10" hidden="1" x14ac:dyDescent="0.2">
      <c r="A302" s="3" t="s">
        <v>943</v>
      </c>
      <c r="B302" s="6">
        <v>659.783203125</v>
      </c>
      <c r="C302" s="6">
        <v>9.2075699581716304</v>
      </c>
      <c r="D302" s="6">
        <v>34.430594697868202</v>
      </c>
      <c r="E302" s="6">
        <v>40.758508951345298</v>
      </c>
      <c r="F302" s="6">
        <v>0.98205975694968395</v>
      </c>
      <c r="G302" s="6">
        <v>89.9507656342319</v>
      </c>
      <c r="H302" s="6">
        <v>82.729451492034102</v>
      </c>
      <c r="I302" t="str">
        <f t="shared" si="4"/>
        <v>street</v>
      </c>
      <c r="J302" t="s">
        <v>980</v>
      </c>
    </row>
    <row r="303" spans="1:10" hidden="1" x14ac:dyDescent="0.2">
      <c r="A303" s="3" t="s">
        <v>944</v>
      </c>
      <c r="B303" s="6">
        <v>719.8212890625</v>
      </c>
      <c r="C303" s="6">
        <v>8.4395947887455804</v>
      </c>
      <c r="D303" s="6">
        <v>34.999838831956701</v>
      </c>
      <c r="E303" s="6">
        <v>41.327517996878697</v>
      </c>
      <c r="F303" s="6">
        <v>0.98383848700733101</v>
      </c>
      <c r="G303" s="6">
        <v>91.073144883283902</v>
      </c>
      <c r="H303" s="6">
        <v>83.781611297046993</v>
      </c>
      <c r="I303" t="str">
        <f t="shared" si="4"/>
        <v>street</v>
      </c>
      <c r="J303" t="s">
        <v>980</v>
      </c>
    </row>
    <row r="304" spans="1:10" hidden="1" x14ac:dyDescent="0.2">
      <c r="A304" s="3" t="s">
        <v>945</v>
      </c>
      <c r="B304" s="6">
        <v>794.4599609375</v>
      </c>
      <c r="C304" s="6">
        <v>7.6467037971696099</v>
      </c>
      <c r="D304" s="6">
        <v>35.6703674044332</v>
      </c>
      <c r="E304" s="6">
        <v>41.9983579361785</v>
      </c>
      <c r="F304" s="6">
        <v>0.98565046884549501</v>
      </c>
      <c r="G304" s="6">
        <v>92.395152415195099</v>
      </c>
      <c r="H304" s="6">
        <v>84.873803674195599</v>
      </c>
      <c r="I304" t="str">
        <f t="shared" si="4"/>
        <v>street</v>
      </c>
      <c r="J304" t="s">
        <v>980</v>
      </c>
    </row>
    <row r="305" spans="1:10" hidden="1" x14ac:dyDescent="0.2">
      <c r="A305" s="3" t="s">
        <v>946</v>
      </c>
      <c r="B305" s="6">
        <v>881.2548828125</v>
      </c>
      <c r="C305" s="6">
        <v>6.8935788254719297</v>
      </c>
      <c r="D305" s="6">
        <v>36.415946567525701</v>
      </c>
      <c r="E305" s="6">
        <v>42.744140535234401</v>
      </c>
      <c r="F305" s="6">
        <v>0.98745452618535101</v>
      </c>
      <c r="G305" s="6">
        <v>93.863767892934106</v>
      </c>
      <c r="H305" s="6">
        <v>85.982032313120001</v>
      </c>
      <c r="I305" t="str">
        <f>MID(A305,1,(FIND(".ppm",A305))-1)</f>
        <v>street</v>
      </c>
      <c r="J305" t="s">
        <v>980</v>
      </c>
    </row>
    <row r="306" spans="1:10" hidden="1" x14ac:dyDescent="0.2">
      <c r="A306" s="3" t="s">
        <v>947</v>
      </c>
      <c r="B306" s="6">
        <v>207.04296875</v>
      </c>
      <c r="C306" s="6">
        <v>29.341735373469401</v>
      </c>
      <c r="D306" s="6">
        <v>32.645755123350902</v>
      </c>
      <c r="E306" s="6">
        <v>40.709301239999697</v>
      </c>
      <c r="F306" s="6">
        <v>0.97536095288027203</v>
      </c>
      <c r="G306" s="6">
        <v>89.853645405419897</v>
      </c>
      <c r="H306" s="6">
        <v>78.938311367357301</v>
      </c>
      <c r="I306" t="str">
        <f t="shared" ref="I306:I337" si="5">MID(A306,1,(FIND(".ppm",A306))-1)</f>
        <v>tatemono</v>
      </c>
      <c r="J306" t="s">
        <v>980</v>
      </c>
    </row>
    <row r="307" spans="1:10" hidden="1" x14ac:dyDescent="0.2">
      <c r="A307" s="3" t="s">
        <v>948</v>
      </c>
      <c r="B307" s="6">
        <v>213.3203125</v>
      </c>
      <c r="C307" s="6">
        <v>28.4783006775316</v>
      </c>
      <c r="D307" s="6">
        <v>32.8797322718587</v>
      </c>
      <c r="E307" s="6">
        <v>40.940734403886502</v>
      </c>
      <c r="F307" s="6">
        <v>0.97613335856800498</v>
      </c>
      <c r="G307" s="6">
        <v>90.310335025529895</v>
      </c>
      <c r="H307" s="6">
        <v>79.362012937252103</v>
      </c>
      <c r="I307" t="str">
        <f t="shared" si="5"/>
        <v>tatemono</v>
      </c>
      <c r="J307" t="s">
        <v>980</v>
      </c>
    </row>
    <row r="308" spans="1:10" hidden="1" x14ac:dyDescent="0.2">
      <c r="A308" s="3" t="s">
        <v>949</v>
      </c>
      <c r="B308" s="6">
        <v>219.947265625</v>
      </c>
      <c r="C308" s="6">
        <v>27.620256986316001</v>
      </c>
      <c r="D308" s="6">
        <v>33.074453370341203</v>
      </c>
      <c r="E308" s="6">
        <v>41.135802249219502</v>
      </c>
      <c r="F308" s="6">
        <v>0.97666887096782795</v>
      </c>
      <c r="G308" s="6">
        <v>90.695108012571694</v>
      </c>
      <c r="H308" s="6">
        <v>79.657783350643697</v>
      </c>
      <c r="I308" t="str">
        <f t="shared" si="5"/>
        <v>tatemono</v>
      </c>
      <c r="J308" t="s">
        <v>980</v>
      </c>
    </row>
    <row r="309" spans="1:10" hidden="1" x14ac:dyDescent="0.2">
      <c r="A309" s="3" t="s">
        <v>950</v>
      </c>
      <c r="B309" s="6">
        <v>228.4580078125</v>
      </c>
      <c r="C309" s="6">
        <v>26.591320033683701</v>
      </c>
      <c r="D309" s="6">
        <v>33.306848299639597</v>
      </c>
      <c r="E309" s="6">
        <v>41.368112764593803</v>
      </c>
      <c r="F309" s="6">
        <v>0.97736906514847799</v>
      </c>
      <c r="G309" s="6">
        <v>91.153177593174902</v>
      </c>
      <c r="H309" s="6">
        <v>80.047018310780004</v>
      </c>
      <c r="I309" t="str">
        <f t="shared" si="5"/>
        <v>tatemono</v>
      </c>
      <c r="J309" t="s">
        <v>980</v>
      </c>
    </row>
    <row r="310" spans="1:10" hidden="1" x14ac:dyDescent="0.2">
      <c r="A310" s="3" t="s">
        <v>951</v>
      </c>
      <c r="B310" s="6">
        <v>235.158203125</v>
      </c>
      <c r="C310" s="6">
        <v>25.833672477803301</v>
      </c>
      <c r="D310" s="6">
        <v>33.5346574824908</v>
      </c>
      <c r="E310" s="6">
        <v>41.598965490580603</v>
      </c>
      <c r="F310" s="6">
        <v>0.978143117083353</v>
      </c>
      <c r="G310" s="6">
        <v>91.6082159291377</v>
      </c>
      <c r="H310" s="6">
        <v>80.480643081983104</v>
      </c>
      <c r="I310" t="str">
        <f t="shared" si="5"/>
        <v>tatemono</v>
      </c>
      <c r="J310" t="s">
        <v>980</v>
      </c>
    </row>
    <row r="311" spans="1:10" hidden="1" x14ac:dyDescent="0.2">
      <c r="A311" s="3" t="s">
        <v>952</v>
      </c>
      <c r="B311" s="6">
        <v>242.5458984375</v>
      </c>
      <c r="C311" s="6">
        <v>25.046805735061401</v>
      </c>
      <c r="D311" s="6">
        <v>33.785322876928802</v>
      </c>
      <c r="E311" s="6">
        <v>41.849778089646897</v>
      </c>
      <c r="F311" s="6">
        <v>0.97886251406732905</v>
      </c>
      <c r="G311" s="6">
        <v>92.102442835150896</v>
      </c>
      <c r="H311" s="6">
        <v>80.886812499970105</v>
      </c>
      <c r="I311" t="str">
        <f t="shared" si="5"/>
        <v>tatemono</v>
      </c>
      <c r="J311" t="s">
        <v>980</v>
      </c>
    </row>
    <row r="312" spans="1:10" hidden="1" x14ac:dyDescent="0.2">
      <c r="A312" s="3" t="s">
        <v>953</v>
      </c>
      <c r="B312" s="6">
        <v>253.9814453125</v>
      </c>
      <c r="C312" s="6">
        <v>23.919070121540901</v>
      </c>
      <c r="D312" s="6">
        <v>34.0781463567751</v>
      </c>
      <c r="E312" s="6">
        <v>42.1417693656512</v>
      </c>
      <c r="F312" s="6">
        <v>0.97952434445947301</v>
      </c>
      <c r="G312" s="6">
        <v>92.677637068081694</v>
      </c>
      <c r="H312" s="6">
        <v>81.263191585050706</v>
      </c>
      <c r="I312" t="str">
        <f t="shared" si="5"/>
        <v>tatemono</v>
      </c>
      <c r="J312" t="s">
        <v>980</v>
      </c>
    </row>
    <row r="313" spans="1:10" hidden="1" x14ac:dyDescent="0.2">
      <c r="A313" s="3" t="s">
        <v>954</v>
      </c>
      <c r="B313" s="6">
        <v>261.6962890625</v>
      </c>
      <c r="C313" s="6">
        <v>23.213932538986601</v>
      </c>
      <c r="D313" s="6">
        <v>34.312573217636903</v>
      </c>
      <c r="E313" s="6">
        <v>42.372309821387397</v>
      </c>
      <c r="F313" s="6">
        <v>0.97966159410762499</v>
      </c>
      <c r="G313" s="6">
        <v>93.131664110913604</v>
      </c>
      <c r="H313" s="6">
        <v>81.341571755234995</v>
      </c>
      <c r="I313" t="str">
        <f t="shared" si="5"/>
        <v>tatemono</v>
      </c>
      <c r="J313" t="s">
        <v>980</v>
      </c>
    </row>
    <row r="314" spans="1:10" hidden="1" x14ac:dyDescent="0.2">
      <c r="A314" s="3" t="s">
        <v>955</v>
      </c>
      <c r="B314" s="6">
        <v>277.4423828125</v>
      </c>
      <c r="C314" s="6">
        <v>21.896438238513799</v>
      </c>
      <c r="D314" s="6">
        <v>34.649706322361403</v>
      </c>
      <c r="E314" s="6">
        <v>42.710295515818203</v>
      </c>
      <c r="F314" s="6">
        <v>0.980637964404102</v>
      </c>
      <c r="G314" s="6">
        <v>93.797138136048801</v>
      </c>
      <c r="H314" s="6">
        <v>81.902418257104699</v>
      </c>
      <c r="I314" t="str">
        <f t="shared" si="5"/>
        <v>tatemono</v>
      </c>
      <c r="J314" t="s">
        <v>980</v>
      </c>
    </row>
    <row r="315" spans="1:10" hidden="1" x14ac:dyDescent="0.2">
      <c r="A315" s="3" t="s">
        <v>956</v>
      </c>
      <c r="B315" s="6">
        <v>287.1142578125</v>
      </c>
      <c r="C315" s="6">
        <v>21.1588238295267</v>
      </c>
      <c r="D315" s="6">
        <v>34.961058484902701</v>
      </c>
      <c r="E315" s="6">
        <v>43.022032827655998</v>
      </c>
      <c r="F315" s="6">
        <v>0.98143280828747903</v>
      </c>
      <c r="G315" s="6">
        <v>94.410791415705006</v>
      </c>
      <c r="H315" s="6">
        <v>82.363246903665001</v>
      </c>
      <c r="I315" t="str">
        <f t="shared" si="5"/>
        <v>tatemono</v>
      </c>
      <c r="J315" t="s">
        <v>980</v>
      </c>
    </row>
    <row r="316" spans="1:10" hidden="1" x14ac:dyDescent="0.2">
      <c r="A316" s="3" t="s">
        <v>957</v>
      </c>
      <c r="B316" s="6">
        <v>307.8701171875</v>
      </c>
      <c r="C316" s="6">
        <v>19.732347054326802</v>
      </c>
      <c r="D316" s="6">
        <v>35.416523197079599</v>
      </c>
      <c r="E316" s="6">
        <v>43.481323865007397</v>
      </c>
      <c r="F316" s="6">
        <v>0.98317959862966198</v>
      </c>
      <c r="G316" s="6">
        <v>95.3147059866983</v>
      </c>
      <c r="H316" s="6">
        <v>83.389574607345097</v>
      </c>
      <c r="I316" t="str">
        <f t="shared" si="5"/>
        <v>tatemono</v>
      </c>
      <c r="J316" t="s">
        <v>980</v>
      </c>
    </row>
    <row r="317" spans="1:10" hidden="1" x14ac:dyDescent="0.2">
      <c r="A317" s="3" t="s">
        <v>958</v>
      </c>
      <c r="B317" s="6">
        <v>326.150390625</v>
      </c>
      <c r="C317" s="6">
        <v>18.626376587679399</v>
      </c>
      <c r="D317" s="6">
        <v>35.810026618362301</v>
      </c>
      <c r="E317" s="6">
        <v>43.875224296580299</v>
      </c>
      <c r="F317" s="6">
        <v>0.98399379135785003</v>
      </c>
      <c r="G317" s="6">
        <v>96.089777248838104</v>
      </c>
      <c r="H317" s="6">
        <v>83.874411927926104</v>
      </c>
      <c r="I317" t="str">
        <f t="shared" si="5"/>
        <v>tatemono</v>
      </c>
      <c r="J317" t="s">
        <v>980</v>
      </c>
    </row>
    <row r="318" spans="1:10" hidden="1" x14ac:dyDescent="0.2">
      <c r="A318" s="3" t="s">
        <v>959</v>
      </c>
      <c r="B318" s="6">
        <v>343.4384765625</v>
      </c>
      <c r="C318" s="6">
        <v>17.688757709401401</v>
      </c>
      <c r="D318" s="6">
        <v>36.250092782224698</v>
      </c>
      <c r="E318" s="6">
        <v>44.315343353205201</v>
      </c>
      <c r="F318" s="6">
        <v>0.98479634809407701</v>
      </c>
      <c r="G318" s="6">
        <v>96.955663678926001</v>
      </c>
      <c r="H318" s="6">
        <v>84.356387233735404</v>
      </c>
      <c r="I318" t="str">
        <f t="shared" si="5"/>
        <v>tatemono</v>
      </c>
      <c r="J318" t="s">
        <v>980</v>
      </c>
    </row>
    <row r="319" spans="1:10" hidden="1" x14ac:dyDescent="0.2">
      <c r="A319" s="3" t="s">
        <v>960</v>
      </c>
      <c r="B319" s="6">
        <v>377.8955078125</v>
      </c>
      <c r="C319" s="6">
        <v>16.0758724949285</v>
      </c>
      <c r="D319" s="6">
        <v>36.740584583484903</v>
      </c>
      <c r="E319" s="6">
        <v>44.805555034301001</v>
      </c>
      <c r="F319" s="6">
        <v>0.98570721784756399</v>
      </c>
      <c r="G319" s="6">
        <v>97.919977648021202</v>
      </c>
      <c r="H319" s="6">
        <v>84.908346010964607</v>
      </c>
      <c r="I319" t="str">
        <f t="shared" si="5"/>
        <v>tatemono</v>
      </c>
      <c r="J319" t="s">
        <v>980</v>
      </c>
    </row>
    <row r="320" spans="1:10" hidden="1" x14ac:dyDescent="0.2">
      <c r="A320" s="3" t="s">
        <v>961</v>
      </c>
      <c r="B320" s="6">
        <v>421.876953125</v>
      </c>
      <c r="C320" s="6">
        <v>14.399933333642</v>
      </c>
      <c r="D320" s="6">
        <v>37.325653689986602</v>
      </c>
      <c r="E320" s="6">
        <v>45.391215250573602</v>
      </c>
      <c r="F320" s="6">
        <v>0.98677838560540698</v>
      </c>
      <c r="G320" s="6">
        <v>99.071923048587706</v>
      </c>
      <c r="H320" s="6">
        <v>85.564221983791199</v>
      </c>
      <c r="I320" t="str">
        <f t="shared" si="5"/>
        <v>tatemono</v>
      </c>
      <c r="J320" t="s">
        <v>980</v>
      </c>
    </row>
    <row r="321" spans="1:10" hidden="1" x14ac:dyDescent="0.2">
      <c r="A321" s="3" t="s">
        <v>962</v>
      </c>
      <c r="B321" s="6">
        <v>475.6953125</v>
      </c>
      <c r="C321" s="6">
        <v>12.770779615365701</v>
      </c>
      <c r="D321" s="6">
        <v>37.9630930030836</v>
      </c>
      <c r="E321" s="6">
        <v>46.028959565931402</v>
      </c>
      <c r="F321" s="6">
        <v>0.98782937134659599</v>
      </c>
      <c r="G321" s="6">
        <v>100.32619794275401</v>
      </c>
      <c r="H321" s="6">
        <v>86.214941821280505</v>
      </c>
      <c r="I321" t="str">
        <f t="shared" si="5"/>
        <v>tatemono</v>
      </c>
      <c r="J321" t="s">
        <v>980</v>
      </c>
    </row>
    <row r="322" spans="1:10" hidden="1" x14ac:dyDescent="0.2">
      <c r="A322" s="3" t="s">
        <v>963</v>
      </c>
      <c r="B322" s="6">
        <v>203.9189453125</v>
      </c>
      <c r="C322" s="6">
        <v>29.7912486291562</v>
      </c>
      <c r="D322" s="6">
        <v>36.810270717156598</v>
      </c>
      <c r="E322" s="6">
        <v>41.4572472208392</v>
      </c>
      <c r="F322" s="6">
        <v>0.97906930525350899</v>
      </c>
      <c r="G322" s="6">
        <v>91.328889676079697</v>
      </c>
      <c r="H322" s="6">
        <v>81.004133393572602</v>
      </c>
      <c r="I322" t="str">
        <f t="shared" si="5"/>
        <v>wedding</v>
      </c>
      <c r="J322" t="s">
        <v>980</v>
      </c>
    </row>
    <row r="323" spans="1:10" hidden="1" x14ac:dyDescent="0.2">
      <c r="A323" s="3" t="s">
        <v>964</v>
      </c>
      <c r="B323" s="6">
        <v>210.50390625</v>
      </c>
      <c r="C323" s="6">
        <v>28.859321939542401</v>
      </c>
      <c r="D323" s="6">
        <v>36.996996686565303</v>
      </c>
      <c r="E323" s="6">
        <v>41.639898391063603</v>
      </c>
      <c r="F323" s="6">
        <v>0.97962663616798595</v>
      </c>
      <c r="G323" s="6">
        <v>91.688884759568495</v>
      </c>
      <c r="H323" s="6">
        <v>81.321597372321307</v>
      </c>
      <c r="I323" t="str">
        <f t="shared" si="5"/>
        <v>wedding</v>
      </c>
      <c r="J323" t="s">
        <v>980</v>
      </c>
    </row>
    <row r="324" spans="1:10" hidden="1" x14ac:dyDescent="0.2">
      <c r="A324" s="3" t="s">
        <v>965</v>
      </c>
      <c r="B324" s="6">
        <v>216.9423828125</v>
      </c>
      <c r="C324" s="6">
        <v>28.002826931473901</v>
      </c>
      <c r="D324" s="6">
        <v>37.129316126811901</v>
      </c>
      <c r="E324" s="6">
        <v>41.772606706232096</v>
      </c>
      <c r="F324" s="6">
        <v>0.98017331488850801</v>
      </c>
      <c r="G324" s="6">
        <v>91.950392292587793</v>
      </c>
      <c r="H324" s="6">
        <v>81.6347990236345</v>
      </c>
      <c r="I324" t="str">
        <f t="shared" si="5"/>
        <v>wedding</v>
      </c>
      <c r="J324" t="s">
        <v>980</v>
      </c>
    </row>
    <row r="325" spans="1:10" hidden="1" x14ac:dyDescent="0.2">
      <c r="A325" s="3" t="s">
        <v>966</v>
      </c>
      <c r="B325" s="6">
        <v>226.5634765625</v>
      </c>
      <c r="C325" s="6">
        <v>26.813677527252</v>
      </c>
      <c r="D325" s="6">
        <v>37.297205608016398</v>
      </c>
      <c r="E325" s="6">
        <v>41.941237582564597</v>
      </c>
      <c r="F325" s="6">
        <v>0.98085749397327004</v>
      </c>
      <c r="G325" s="6">
        <v>92.282628075143805</v>
      </c>
      <c r="H325" s="6">
        <v>82.029312160277001</v>
      </c>
      <c r="I325" t="str">
        <f t="shared" si="5"/>
        <v>wedding</v>
      </c>
      <c r="J325" t="s">
        <v>980</v>
      </c>
    </row>
    <row r="326" spans="1:10" hidden="1" x14ac:dyDescent="0.2">
      <c r="A326" s="3" t="s">
        <v>967</v>
      </c>
      <c r="B326" s="6">
        <v>233.283203125</v>
      </c>
      <c r="C326" s="6">
        <v>26.041309098215901</v>
      </c>
      <c r="D326" s="6">
        <v>37.469943592138101</v>
      </c>
      <c r="E326" s="6">
        <v>42.118039796889697</v>
      </c>
      <c r="F326" s="6">
        <v>0.98178235620772003</v>
      </c>
      <c r="G326" s="6">
        <v>92.630898515251104</v>
      </c>
      <c r="H326" s="6">
        <v>82.567123244331697</v>
      </c>
      <c r="I326" t="str">
        <f t="shared" si="5"/>
        <v>wedding</v>
      </c>
      <c r="J326" t="s">
        <v>980</v>
      </c>
    </row>
    <row r="327" spans="1:10" hidden="1" x14ac:dyDescent="0.2">
      <c r="A327" s="3" t="s">
        <v>968</v>
      </c>
      <c r="B327" s="6">
        <v>241.8349609375</v>
      </c>
      <c r="C327" s="6">
        <v>25.1204374109086</v>
      </c>
      <c r="D327" s="6">
        <v>37.6616443840879</v>
      </c>
      <c r="E327" s="6">
        <v>42.309965296220703</v>
      </c>
      <c r="F327" s="6">
        <v>0.98249972908421301</v>
      </c>
      <c r="G327" s="6">
        <v>93.008891789287205</v>
      </c>
      <c r="H327" s="6">
        <v>82.987882260927606</v>
      </c>
      <c r="I327" t="str">
        <f t="shared" si="5"/>
        <v>wedding</v>
      </c>
      <c r="J327" t="s">
        <v>980</v>
      </c>
    </row>
    <row r="328" spans="1:10" hidden="1" x14ac:dyDescent="0.2">
      <c r="A328" s="3" t="s">
        <v>969</v>
      </c>
      <c r="B328" s="6">
        <v>254.19921875</v>
      </c>
      <c r="C328" s="6">
        <v>23.898578563196299</v>
      </c>
      <c r="D328" s="6">
        <v>37.880846921635197</v>
      </c>
      <c r="E328" s="6">
        <v>42.528211776426403</v>
      </c>
      <c r="F328" s="6">
        <v>0.98326909633608806</v>
      </c>
      <c r="G328" s="6">
        <v>93.438647308029203</v>
      </c>
      <c r="H328" s="6">
        <v>83.442666712791606</v>
      </c>
      <c r="I328" t="str">
        <f t="shared" si="5"/>
        <v>wedding</v>
      </c>
      <c r="J328" t="s">
        <v>980</v>
      </c>
    </row>
    <row r="329" spans="1:10" hidden="1" x14ac:dyDescent="0.2">
      <c r="A329" s="3" t="s">
        <v>970</v>
      </c>
      <c r="B329" s="6">
        <v>263.0927734375</v>
      </c>
      <c r="C329" s="6">
        <v>23.0907140497463</v>
      </c>
      <c r="D329" s="6">
        <v>38.052297066702401</v>
      </c>
      <c r="E329" s="6">
        <v>42.6961805983155</v>
      </c>
      <c r="F329" s="6">
        <v>0.98379430319960504</v>
      </c>
      <c r="G329" s="6">
        <v>93.769350027041398</v>
      </c>
      <c r="H329" s="6">
        <v>83.755237278215205</v>
      </c>
      <c r="I329" t="str">
        <f t="shared" si="5"/>
        <v>wedding</v>
      </c>
      <c r="J329" t="s">
        <v>980</v>
      </c>
    </row>
    <row r="330" spans="1:10" hidden="1" x14ac:dyDescent="0.2">
      <c r="A330" s="3" t="s">
        <v>971</v>
      </c>
      <c r="B330" s="6">
        <v>280.1787109375</v>
      </c>
      <c r="C330" s="6">
        <v>21.682589586027301</v>
      </c>
      <c r="D330" s="6">
        <v>38.305897207871801</v>
      </c>
      <c r="E330" s="6">
        <v>42.950418133765503</v>
      </c>
      <c r="F330" s="6">
        <v>0.98464262163279603</v>
      </c>
      <c r="G330" s="6">
        <v>94.269828832051701</v>
      </c>
      <c r="H330" s="6">
        <v>84.263752569561603</v>
      </c>
      <c r="I330" t="str">
        <f t="shared" si="5"/>
        <v>wedding</v>
      </c>
      <c r="J330" t="s">
        <v>980</v>
      </c>
    </row>
    <row r="331" spans="1:10" hidden="1" x14ac:dyDescent="0.2">
      <c r="A331" s="3" t="s">
        <v>972</v>
      </c>
      <c r="B331" s="6">
        <v>291.0986328125</v>
      </c>
      <c r="C331" s="6">
        <v>20.869215156750599</v>
      </c>
      <c r="D331" s="6">
        <v>38.5307639261788</v>
      </c>
      <c r="E331" s="6">
        <v>43.175704852398397</v>
      </c>
      <c r="F331" s="6">
        <v>0.98541056835150898</v>
      </c>
      <c r="G331" s="6">
        <v>94.7132518455157</v>
      </c>
      <c r="H331" s="6">
        <v>84.728006447386406</v>
      </c>
      <c r="I331" t="str">
        <f t="shared" si="5"/>
        <v>wedding</v>
      </c>
      <c r="J331" t="s">
        <v>980</v>
      </c>
    </row>
    <row r="332" spans="1:10" hidden="1" x14ac:dyDescent="0.2">
      <c r="A332" s="3" t="s">
        <v>973</v>
      </c>
      <c r="B332" s="6">
        <v>314.162109375</v>
      </c>
      <c r="C332" s="6">
        <v>19.3371505306153</v>
      </c>
      <c r="D332" s="6">
        <v>38.853245498266702</v>
      </c>
      <c r="E332" s="6">
        <v>43.501028180937197</v>
      </c>
      <c r="F332" s="6">
        <v>0.98634444234310903</v>
      </c>
      <c r="G332" s="6">
        <v>95.353480839288196</v>
      </c>
      <c r="H332" s="6">
        <v>85.297630421928901</v>
      </c>
      <c r="I332" t="str">
        <f t="shared" si="5"/>
        <v>wedding</v>
      </c>
      <c r="J332" t="s">
        <v>980</v>
      </c>
    </row>
    <row r="333" spans="1:10" hidden="1" x14ac:dyDescent="0.2">
      <c r="A333" s="3" t="s">
        <v>974</v>
      </c>
      <c r="B333" s="6">
        <v>334.169921875</v>
      </c>
      <c r="C333" s="6">
        <v>18.1793740319705</v>
      </c>
      <c r="D333" s="6">
        <v>39.1599199576643</v>
      </c>
      <c r="E333" s="6">
        <v>43.807818984001202</v>
      </c>
      <c r="F333" s="6">
        <v>0.98719809636058997</v>
      </c>
      <c r="G333" s="6">
        <v>95.957153397700793</v>
      </c>
      <c r="H333" s="6">
        <v>85.823226700137894</v>
      </c>
      <c r="I333" t="str">
        <f t="shared" si="5"/>
        <v>wedding</v>
      </c>
      <c r="J333" t="s">
        <v>980</v>
      </c>
    </row>
    <row r="334" spans="1:10" hidden="1" x14ac:dyDescent="0.2">
      <c r="A334" s="3" t="s">
        <v>975</v>
      </c>
      <c r="B334" s="6">
        <v>350.8525390625</v>
      </c>
      <c r="C334" s="6">
        <v>17.314966613132601</v>
      </c>
      <c r="D334" s="6">
        <v>39.472190871031501</v>
      </c>
      <c r="E334" s="6">
        <v>44.120094527741799</v>
      </c>
      <c r="F334" s="6">
        <v>0.98804200793073804</v>
      </c>
      <c r="G334" s="6">
        <v>96.571547595996407</v>
      </c>
      <c r="H334" s="6">
        <v>86.347470924677495</v>
      </c>
      <c r="I334" t="str">
        <f t="shared" si="5"/>
        <v>wedding</v>
      </c>
      <c r="J334" t="s">
        <v>980</v>
      </c>
    </row>
    <row r="335" spans="1:10" hidden="1" x14ac:dyDescent="0.2">
      <c r="A335" s="3" t="s">
        <v>976</v>
      </c>
      <c r="B335" s="6">
        <v>391.384765625</v>
      </c>
      <c r="C335" s="6">
        <v>15.5218100793956</v>
      </c>
      <c r="D335" s="6">
        <v>39.871470810750999</v>
      </c>
      <c r="E335" s="6">
        <v>44.519578026719401</v>
      </c>
      <c r="F335" s="6">
        <v>0.98905804001816899</v>
      </c>
      <c r="G335" s="6">
        <v>97.3574354646518</v>
      </c>
      <c r="H335" s="6">
        <v>86.984826073094197</v>
      </c>
      <c r="I335" t="str">
        <f t="shared" si="5"/>
        <v>wedding</v>
      </c>
      <c r="J335" t="s">
        <v>980</v>
      </c>
    </row>
    <row r="336" spans="1:10" hidden="1" x14ac:dyDescent="0.2">
      <c r="A336" s="3" t="s">
        <v>977</v>
      </c>
      <c r="B336" s="6">
        <v>437.646484375</v>
      </c>
      <c r="C336" s="6">
        <v>13.881066607162801</v>
      </c>
      <c r="D336" s="6">
        <v>40.337691571927799</v>
      </c>
      <c r="E336" s="6">
        <v>44.986130593483402</v>
      </c>
      <c r="F336" s="6">
        <v>0.99006825376567498</v>
      </c>
      <c r="G336" s="6">
        <v>98.2751680117006</v>
      </c>
      <c r="H336" s="6">
        <v>87.625302905610596</v>
      </c>
      <c r="I336" t="str">
        <f t="shared" si="5"/>
        <v>wedding</v>
      </c>
      <c r="J336" t="s">
        <v>980</v>
      </c>
    </row>
    <row r="337" spans="1:10" hidden="1" x14ac:dyDescent="0.2">
      <c r="A337" s="3" t="s">
        <v>978</v>
      </c>
      <c r="B337" s="6">
        <v>492.783203125</v>
      </c>
      <c r="C337" s="6">
        <v>12.327936426150901</v>
      </c>
      <c r="D337" s="6">
        <v>40.836120742267603</v>
      </c>
      <c r="E337" s="6">
        <v>45.4847107922375</v>
      </c>
      <c r="F337" s="6">
        <v>0.99105587547282203</v>
      </c>
      <c r="G337" s="6">
        <v>99.255810707826896</v>
      </c>
      <c r="H337" s="6">
        <v>88.258053521766698</v>
      </c>
      <c r="I337" t="str">
        <f t="shared" si="5"/>
        <v>wedding</v>
      </c>
      <c r="J337" t="s">
        <v>980</v>
      </c>
    </row>
    <row r="338" spans="1:10" hidden="1" x14ac:dyDescent="0.2">
      <c r="A338" s="3" t="s">
        <v>342</v>
      </c>
      <c r="B338" s="6">
        <v>398.3583984375</v>
      </c>
      <c r="C338" s="6">
        <v>15.2500864142146</v>
      </c>
      <c r="D338" s="6">
        <v>31.8309692670488</v>
      </c>
      <c r="E338" s="6">
        <v>39.389965960076303</v>
      </c>
      <c r="F338" s="6">
        <v>0.98695396989254103</v>
      </c>
      <c r="G338" s="6">
        <v>87.244729516625796</v>
      </c>
      <c r="H338" s="6">
        <v>85.672436851285696</v>
      </c>
      <c r="I338" t="str">
        <f>MID(A338,1,(FIND("yuv",A338))-1)</f>
        <v>bar</v>
      </c>
      <c r="J338" t="s">
        <v>982</v>
      </c>
    </row>
    <row r="339" spans="1:10" hidden="1" x14ac:dyDescent="0.2">
      <c r="A339" s="3" t="s">
        <v>343</v>
      </c>
      <c r="B339" s="6">
        <v>345.6572265625</v>
      </c>
      <c r="C339" s="6">
        <v>17.5752147884041</v>
      </c>
      <c r="D339" s="6">
        <v>31.174015741658899</v>
      </c>
      <c r="E339" s="6">
        <v>38.7332003045805</v>
      </c>
      <c r="F339" s="6">
        <v>0.98495651919879601</v>
      </c>
      <c r="G339" s="6">
        <v>85.940716593787499</v>
      </c>
      <c r="H339" s="6">
        <v>84.453064357591799</v>
      </c>
      <c r="I339" t="str">
        <f t="shared" ref="I339:I402" si="6">MID(A339,1,(FIND("yuv",A339))-1)</f>
        <v>bar</v>
      </c>
      <c r="J339" t="s">
        <v>982</v>
      </c>
    </row>
    <row r="340" spans="1:10" hidden="1" x14ac:dyDescent="0.2">
      <c r="A340" s="3" t="s">
        <v>344</v>
      </c>
      <c r="B340" s="6">
        <v>298.1171875</v>
      </c>
      <c r="C340" s="6">
        <v>20.3778925024241</v>
      </c>
      <c r="D340" s="6">
        <v>30.555156994542699</v>
      </c>
      <c r="E340" s="6">
        <v>38.115804185838499</v>
      </c>
      <c r="F340" s="6">
        <v>0.98289289292549697</v>
      </c>
      <c r="G340" s="6">
        <v>84.709716553987505</v>
      </c>
      <c r="H340" s="6">
        <v>83.219829090976404</v>
      </c>
      <c r="I340" t="str">
        <f t="shared" si="6"/>
        <v>bar</v>
      </c>
      <c r="J340" t="s">
        <v>982</v>
      </c>
    </row>
    <row r="341" spans="1:10" hidden="1" x14ac:dyDescent="0.2">
      <c r="A341" s="3" t="s">
        <v>345</v>
      </c>
      <c r="B341" s="6">
        <v>254.1416015625</v>
      </c>
      <c r="C341" s="6">
        <v>23.9039966800005</v>
      </c>
      <c r="D341" s="6">
        <v>29.968855745712698</v>
      </c>
      <c r="E341" s="6">
        <v>37.529848864150601</v>
      </c>
      <c r="F341" s="6">
        <v>0.980720055699419</v>
      </c>
      <c r="G341" s="6">
        <v>83.534852820717106</v>
      </c>
      <c r="H341" s="6">
        <v>81.949835044564693</v>
      </c>
      <c r="I341" t="str">
        <f t="shared" si="6"/>
        <v>bar</v>
      </c>
      <c r="J341" t="s">
        <v>982</v>
      </c>
    </row>
    <row r="342" spans="1:10" hidden="1" x14ac:dyDescent="0.2">
      <c r="A342" s="3" t="s">
        <v>346</v>
      </c>
      <c r="B342" s="6">
        <v>216.5419921875</v>
      </c>
      <c r="C342" s="6">
        <v>28.054604738002801</v>
      </c>
      <c r="D342" s="6">
        <v>29.428958865440698</v>
      </c>
      <c r="E342" s="6">
        <v>36.991194374497802</v>
      </c>
      <c r="F342" s="6">
        <v>0.97866610089183803</v>
      </c>
      <c r="G342" s="6">
        <v>82.447032138420397</v>
      </c>
      <c r="H342" s="6">
        <v>80.775614436297204</v>
      </c>
      <c r="I342" t="str">
        <f t="shared" si="6"/>
        <v>bar</v>
      </c>
      <c r="J342" t="s">
        <v>982</v>
      </c>
    </row>
    <row r="343" spans="1:10" hidden="1" x14ac:dyDescent="0.2">
      <c r="A343" s="3" t="s">
        <v>347</v>
      </c>
      <c r="B343" s="6">
        <v>184.939453125</v>
      </c>
      <c r="C343" s="6">
        <v>32.848588537211299</v>
      </c>
      <c r="D343" s="6">
        <v>28.927079008958898</v>
      </c>
      <c r="E343" s="6">
        <v>36.490447693043002</v>
      </c>
      <c r="F343" s="6">
        <v>0.97673435965663102</v>
      </c>
      <c r="G343" s="6">
        <v>81.426700473146695</v>
      </c>
      <c r="H343" s="6">
        <v>79.694067456424804</v>
      </c>
      <c r="I343" t="str">
        <f t="shared" si="6"/>
        <v>bar</v>
      </c>
      <c r="J343" t="s">
        <v>982</v>
      </c>
    </row>
    <row r="344" spans="1:10" hidden="1" x14ac:dyDescent="0.2">
      <c r="A344" s="3" t="s">
        <v>348</v>
      </c>
      <c r="B344" s="6">
        <v>158.953125</v>
      </c>
      <c r="C344" s="6">
        <v>38.218814508994399</v>
      </c>
      <c r="D344" s="6">
        <v>28.451283777306799</v>
      </c>
      <c r="E344" s="6">
        <v>36.014693256207302</v>
      </c>
      <c r="F344" s="6">
        <v>0.97494256069736496</v>
      </c>
      <c r="G344" s="6">
        <v>80.446576912584305</v>
      </c>
      <c r="H344" s="6">
        <v>78.710228481783602</v>
      </c>
      <c r="I344" t="str">
        <f t="shared" si="6"/>
        <v>bar</v>
      </c>
      <c r="J344" t="s">
        <v>982</v>
      </c>
    </row>
    <row r="345" spans="1:10" hidden="1" x14ac:dyDescent="0.2">
      <c r="A345" s="3" t="s">
        <v>349</v>
      </c>
      <c r="B345" s="6">
        <v>137.44140625</v>
      </c>
      <c r="C345" s="6">
        <v>44.200653687650998</v>
      </c>
      <c r="D345" s="6">
        <v>27.983056559073901</v>
      </c>
      <c r="E345" s="6">
        <v>35.546749362937199</v>
      </c>
      <c r="F345" s="6">
        <v>0.973214975296954</v>
      </c>
      <c r="G345" s="6">
        <v>79.469249836935305</v>
      </c>
      <c r="H345" s="6">
        <v>77.778945465851805</v>
      </c>
      <c r="I345" t="str">
        <f t="shared" si="6"/>
        <v>bar</v>
      </c>
      <c r="J345" t="s">
        <v>982</v>
      </c>
    </row>
    <row r="346" spans="1:10" hidden="1" x14ac:dyDescent="0.2">
      <c r="A346" s="3" t="s">
        <v>350</v>
      </c>
      <c r="B346" s="6">
        <v>119.947265625</v>
      </c>
      <c r="C346" s="6">
        <v>50.647257095403198</v>
      </c>
      <c r="D346" s="6">
        <v>27.5210244107246</v>
      </c>
      <c r="E346" s="6">
        <v>35.086193766157599</v>
      </c>
      <c r="F346" s="6">
        <v>0.97160971373788996</v>
      </c>
      <c r="G346" s="6">
        <v>78.490710769317005</v>
      </c>
      <c r="H346" s="6">
        <v>76.928545759248394</v>
      </c>
      <c r="I346" t="str">
        <f t="shared" si="6"/>
        <v>bar</v>
      </c>
      <c r="J346" t="s">
        <v>982</v>
      </c>
    </row>
    <row r="347" spans="1:10" hidden="1" x14ac:dyDescent="0.2">
      <c r="A347" s="3" t="s">
        <v>351</v>
      </c>
      <c r="B347" s="6">
        <v>105.689453125</v>
      </c>
      <c r="C347" s="6">
        <v>57.479718367120697</v>
      </c>
      <c r="D347" s="6">
        <v>27.061144976080602</v>
      </c>
      <c r="E347" s="6">
        <v>34.6268372800115</v>
      </c>
      <c r="F347" s="6">
        <v>0.969868444080216</v>
      </c>
      <c r="G347" s="6">
        <v>77.493581306988403</v>
      </c>
      <c r="H347" s="6">
        <v>76.022074792849693</v>
      </c>
      <c r="I347" t="str">
        <f t="shared" si="6"/>
        <v>bar</v>
      </c>
      <c r="J347" t="s">
        <v>982</v>
      </c>
    </row>
    <row r="348" spans="1:10" hidden="1" x14ac:dyDescent="0.2">
      <c r="A348" s="3" t="s">
        <v>352</v>
      </c>
      <c r="B348" s="6">
        <v>93.732421875</v>
      </c>
      <c r="C348" s="6">
        <v>64.812152278552205</v>
      </c>
      <c r="D348" s="6">
        <v>26.593390319152501</v>
      </c>
      <c r="E348" s="6">
        <v>34.1605954208028</v>
      </c>
      <c r="F348" s="6">
        <v>0.96811046962425895</v>
      </c>
      <c r="G348" s="6">
        <v>76.453866118639894</v>
      </c>
      <c r="H348" s="6">
        <v>75.123468975816394</v>
      </c>
      <c r="I348" t="str">
        <f t="shared" si="6"/>
        <v>bar</v>
      </c>
      <c r="J348" t="s">
        <v>982</v>
      </c>
    </row>
    <row r="349" spans="1:10" hidden="1" x14ac:dyDescent="0.2">
      <c r="A349" s="3" t="s">
        <v>353</v>
      </c>
      <c r="B349" s="6">
        <v>83.408203125</v>
      </c>
      <c r="C349" s="6">
        <v>72.834562697576402</v>
      </c>
      <c r="D349" s="6">
        <v>26.127564963901801</v>
      </c>
      <c r="E349" s="6">
        <v>33.6964674049769</v>
      </c>
      <c r="F349" s="6">
        <v>0.96612455656610496</v>
      </c>
      <c r="G349" s="6">
        <v>75.383603989978496</v>
      </c>
      <c r="H349" s="6">
        <v>74.127973332105299</v>
      </c>
      <c r="I349" t="str">
        <f t="shared" si="6"/>
        <v>bar</v>
      </c>
      <c r="J349" t="s">
        <v>982</v>
      </c>
    </row>
    <row r="350" spans="1:10" hidden="1" x14ac:dyDescent="0.2">
      <c r="A350" s="3" t="s">
        <v>354</v>
      </c>
      <c r="B350" s="6">
        <v>74.66796875</v>
      </c>
      <c r="C350" s="6">
        <v>81.360188333769301</v>
      </c>
      <c r="D350" s="6">
        <v>25.639985752302</v>
      </c>
      <c r="E350" s="6">
        <v>33.208092636090498</v>
      </c>
      <c r="F350" s="6">
        <v>0.96391520598535196</v>
      </c>
      <c r="G350" s="6">
        <v>74.209059732364295</v>
      </c>
      <c r="H350" s="6">
        <v>73.044413989181294</v>
      </c>
      <c r="I350" t="str">
        <f t="shared" si="6"/>
        <v>bar</v>
      </c>
      <c r="J350" t="s">
        <v>982</v>
      </c>
    </row>
    <row r="351" spans="1:10" hidden="1" x14ac:dyDescent="0.2">
      <c r="A351" s="3" t="s">
        <v>355</v>
      </c>
      <c r="B351" s="6">
        <v>66.025390625</v>
      </c>
      <c r="C351" s="6">
        <v>92.010057683774605</v>
      </c>
      <c r="D351" s="6">
        <v>25.129402020784902</v>
      </c>
      <c r="E351" s="6">
        <v>32.697661999571203</v>
      </c>
      <c r="F351" s="6">
        <v>0.96136136787375503</v>
      </c>
      <c r="G351" s="6">
        <v>72.914051318135506</v>
      </c>
      <c r="H351" s="6">
        <v>71.822562290545903</v>
      </c>
      <c r="I351" t="str">
        <f t="shared" si="6"/>
        <v>bar</v>
      </c>
      <c r="J351" t="s">
        <v>982</v>
      </c>
    </row>
    <row r="352" spans="1:10" hidden="1" x14ac:dyDescent="0.2">
      <c r="A352" s="3" t="s">
        <v>356</v>
      </c>
      <c r="B352" s="6">
        <v>59.15625</v>
      </c>
      <c r="C352" s="6">
        <v>102.694136291601</v>
      </c>
      <c r="D352" s="6">
        <v>24.626909519586601</v>
      </c>
      <c r="E352" s="6">
        <v>32.200495720338402</v>
      </c>
      <c r="F352" s="6">
        <v>0.95873084879501003</v>
      </c>
      <c r="G352" s="6">
        <v>71.569048782347906</v>
      </c>
      <c r="H352" s="6">
        <v>70.597482379193707</v>
      </c>
      <c r="I352" t="str">
        <f t="shared" si="6"/>
        <v>bar</v>
      </c>
      <c r="J352" t="s">
        <v>982</v>
      </c>
    </row>
    <row r="353" spans="1:10" hidden="1" x14ac:dyDescent="0.2">
      <c r="A353" s="3" t="s">
        <v>357</v>
      </c>
      <c r="B353" s="6">
        <v>52.5888671875</v>
      </c>
      <c r="C353" s="6">
        <v>115.51874616998801</v>
      </c>
      <c r="D353" s="6">
        <v>24.116841862949801</v>
      </c>
      <c r="E353" s="6">
        <v>31.6905548625111</v>
      </c>
      <c r="F353" s="6">
        <v>0.95574043153734001</v>
      </c>
      <c r="G353" s="6">
        <v>70.082640037522594</v>
      </c>
      <c r="H353" s="6">
        <v>69.244818818139507</v>
      </c>
      <c r="I353" t="str">
        <f t="shared" si="6"/>
        <v>bar</v>
      </c>
      <c r="J353" t="s">
        <v>982</v>
      </c>
    </row>
    <row r="354" spans="1:10" hidden="1" x14ac:dyDescent="0.2">
      <c r="A354" s="3" t="s">
        <v>630</v>
      </c>
      <c r="B354" s="6">
        <v>636.3310546875</v>
      </c>
      <c r="C354" s="6">
        <v>9.5469173714669804</v>
      </c>
      <c r="D354" s="6">
        <v>29.7333968853237</v>
      </c>
      <c r="E354" s="6">
        <v>37.441881755116299</v>
      </c>
      <c r="F354" s="6">
        <v>0.97126560511304205</v>
      </c>
      <c r="G354" s="6">
        <v>83.357777382190505</v>
      </c>
      <c r="H354" s="6">
        <v>76.748100364343102</v>
      </c>
      <c r="I354" t="str">
        <f t="shared" si="6"/>
        <v>boston</v>
      </c>
      <c r="J354" t="s">
        <v>982</v>
      </c>
    </row>
    <row r="355" spans="1:10" hidden="1" x14ac:dyDescent="0.2">
      <c r="A355" s="3" t="s">
        <v>631</v>
      </c>
      <c r="B355" s="6">
        <v>575.1025390625</v>
      </c>
      <c r="C355" s="6">
        <v>10.563333644645599</v>
      </c>
      <c r="D355" s="6">
        <v>28.925821331640201</v>
      </c>
      <c r="E355" s="6">
        <v>36.6361411019735</v>
      </c>
      <c r="F355" s="6">
        <v>0.96603980614663298</v>
      </c>
      <c r="G355" s="6">
        <v>81.7246270117774</v>
      </c>
      <c r="H355" s="6">
        <v>74.085946538111799</v>
      </c>
      <c r="I355" t="str">
        <f t="shared" si="6"/>
        <v>boston</v>
      </c>
      <c r="J355" t="s">
        <v>982</v>
      </c>
    </row>
    <row r="356" spans="1:10" hidden="1" x14ac:dyDescent="0.2">
      <c r="A356" s="3" t="s">
        <v>632</v>
      </c>
      <c r="B356" s="6">
        <v>517.578125</v>
      </c>
      <c r="C356" s="6">
        <v>11.737358490566001</v>
      </c>
      <c r="D356" s="6">
        <v>28.165299853490598</v>
      </c>
      <c r="E356" s="6">
        <v>35.876559606584898</v>
      </c>
      <c r="F356" s="6">
        <v>0.96015961988668197</v>
      </c>
      <c r="G356" s="6">
        <v>80.159606002542503</v>
      </c>
      <c r="H356" s="6">
        <v>71.258731619449506</v>
      </c>
      <c r="I356" t="str">
        <f t="shared" si="6"/>
        <v>boston</v>
      </c>
      <c r="J356" t="s">
        <v>982</v>
      </c>
    </row>
    <row r="357" spans="1:10" hidden="1" x14ac:dyDescent="0.2">
      <c r="A357" s="3" t="s">
        <v>633</v>
      </c>
      <c r="B357" s="6">
        <v>463.849609375</v>
      </c>
      <c r="C357" s="6">
        <v>13.0969173568683</v>
      </c>
      <c r="D357" s="6">
        <v>27.400879742035201</v>
      </c>
      <c r="E357" s="6">
        <v>35.113261922201502</v>
      </c>
      <c r="F357" s="6">
        <v>0.95344512931674796</v>
      </c>
      <c r="G357" s="6">
        <v>78.548758184270895</v>
      </c>
      <c r="H357" s="6">
        <v>68.234644164362393</v>
      </c>
      <c r="I357" t="str">
        <f t="shared" si="6"/>
        <v>boston</v>
      </c>
      <c r="J357" t="s">
        <v>982</v>
      </c>
    </row>
    <row r="358" spans="1:10" hidden="1" x14ac:dyDescent="0.2">
      <c r="A358" s="3" t="s">
        <v>634</v>
      </c>
      <c r="B358" s="6">
        <v>413.177734375</v>
      </c>
      <c r="C358" s="6">
        <v>14.703115619696799</v>
      </c>
      <c r="D358" s="6">
        <v>26.612574937440499</v>
      </c>
      <c r="E358" s="6">
        <v>34.326465823403701</v>
      </c>
      <c r="F358" s="6">
        <v>0.94554790114851806</v>
      </c>
      <c r="G358" s="6">
        <v>76.827390232571005</v>
      </c>
      <c r="H358" s="6">
        <v>64.936475174865805</v>
      </c>
      <c r="I358" t="str">
        <f t="shared" si="6"/>
        <v>boston</v>
      </c>
      <c r="J358" t="s">
        <v>982</v>
      </c>
    </row>
    <row r="359" spans="1:10" hidden="1" x14ac:dyDescent="0.2">
      <c r="A359" s="3" t="s">
        <v>635</v>
      </c>
      <c r="B359" s="6">
        <v>368.2939453125</v>
      </c>
      <c r="C359" s="6">
        <v>16.4949765732513</v>
      </c>
      <c r="D359" s="6">
        <v>25.887750680705601</v>
      </c>
      <c r="E359" s="6">
        <v>33.604375642102198</v>
      </c>
      <c r="F359" s="6">
        <v>0.93731074368235601</v>
      </c>
      <c r="G359" s="6">
        <v>75.166273893382296</v>
      </c>
      <c r="H359" s="6">
        <v>61.77016759464</v>
      </c>
      <c r="I359" t="str">
        <f t="shared" si="6"/>
        <v>boston</v>
      </c>
      <c r="J359" t="s">
        <v>982</v>
      </c>
    </row>
    <row r="360" spans="1:10" hidden="1" x14ac:dyDescent="0.2">
      <c r="A360" s="3" t="s">
        <v>636</v>
      </c>
      <c r="B360" s="6">
        <v>326.30078125</v>
      </c>
      <c r="C360" s="6">
        <v>18.617791770916899</v>
      </c>
      <c r="D360" s="6">
        <v>25.172847810641802</v>
      </c>
      <c r="E360" s="6">
        <v>32.891004104900802</v>
      </c>
      <c r="F360" s="6">
        <v>0.92829291359470401</v>
      </c>
      <c r="G360" s="6">
        <v>73.413762941704604</v>
      </c>
      <c r="H360" s="6">
        <v>58.595867305665003</v>
      </c>
      <c r="I360" t="str">
        <f t="shared" si="6"/>
        <v>boston</v>
      </c>
      <c r="J360" t="s">
        <v>982</v>
      </c>
    </row>
    <row r="361" spans="1:10" hidden="1" x14ac:dyDescent="0.2">
      <c r="A361" s="3" t="s">
        <v>637</v>
      </c>
      <c r="B361" s="6">
        <v>285.919921875</v>
      </c>
      <c r="C361" s="6">
        <v>21.247207820152902</v>
      </c>
      <c r="D361" s="6">
        <v>24.4332621114098</v>
      </c>
      <c r="E361" s="6">
        <v>32.154186354821597</v>
      </c>
      <c r="F361" s="6">
        <v>0.91811202586609797</v>
      </c>
      <c r="G361" s="6">
        <v>71.438867242297206</v>
      </c>
      <c r="H361" s="6">
        <v>55.343462600502797</v>
      </c>
      <c r="I361" t="str">
        <f t="shared" si="6"/>
        <v>boston</v>
      </c>
      <c r="J361" t="s">
        <v>982</v>
      </c>
    </row>
    <row r="362" spans="1:10" hidden="1" x14ac:dyDescent="0.2">
      <c r="A362" s="3" t="s">
        <v>638</v>
      </c>
      <c r="B362" s="6">
        <v>249.998046875</v>
      </c>
      <c r="C362" s="6">
        <v>24.300189845233199</v>
      </c>
      <c r="D362" s="6">
        <v>23.710340581223299</v>
      </c>
      <c r="E362" s="6">
        <v>31.431518833427099</v>
      </c>
      <c r="F362" s="6">
        <v>0.90700697571051503</v>
      </c>
      <c r="G362" s="6">
        <v>69.278627746102401</v>
      </c>
      <c r="H362" s="6">
        <v>52.153515590759497</v>
      </c>
      <c r="I362" t="str">
        <f t="shared" si="6"/>
        <v>boston</v>
      </c>
      <c r="J362" t="s">
        <v>982</v>
      </c>
    </row>
    <row r="363" spans="1:10" hidden="1" x14ac:dyDescent="0.2">
      <c r="A363" s="3" t="s">
        <v>639</v>
      </c>
      <c r="B363" s="6">
        <v>217.2998046875</v>
      </c>
      <c r="C363" s="6">
        <v>27.9567669595308</v>
      </c>
      <c r="D363" s="6">
        <v>22.997051585536902</v>
      </c>
      <c r="E363" s="6">
        <v>30.724391599946902</v>
      </c>
      <c r="F363" s="6">
        <v>0.89482022734467803</v>
      </c>
      <c r="G363" s="6">
        <v>66.884727186200607</v>
      </c>
      <c r="H363" s="6">
        <v>49.031519831128399</v>
      </c>
      <c r="I363" t="str">
        <f t="shared" si="6"/>
        <v>boston</v>
      </c>
      <c r="J363" t="s">
        <v>982</v>
      </c>
    </row>
    <row r="364" spans="1:10" hidden="1" x14ac:dyDescent="0.2">
      <c r="A364" s="3" t="s">
        <v>640</v>
      </c>
      <c r="B364" s="6">
        <v>188.298828125</v>
      </c>
      <c r="C364" s="6">
        <v>32.262548102355602</v>
      </c>
      <c r="D364" s="6">
        <v>22.322052664218901</v>
      </c>
      <c r="E364" s="6">
        <v>30.048888144946702</v>
      </c>
      <c r="F364" s="6">
        <v>0.88193642674780504</v>
      </c>
      <c r="G364" s="6">
        <v>64.282887908216196</v>
      </c>
      <c r="H364" s="6">
        <v>46.106706621788099</v>
      </c>
      <c r="I364" t="str">
        <f t="shared" si="6"/>
        <v>boston</v>
      </c>
      <c r="J364" t="s">
        <v>982</v>
      </c>
    </row>
    <row r="365" spans="1:10" hidden="1" x14ac:dyDescent="0.2">
      <c r="A365" s="3" t="s">
        <v>641</v>
      </c>
      <c r="B365" s="6">
        <v>162.8583984375</v>
      </c>
      <c r="C365" s="6">
        <v>37.3023439889187</v>
      </c>
      <c r="D365" s="6">
        <v>21.6629727793222</v>
      </c>
      <c r="E365" s="6">
        <v>29.396520814385099</v>
      </c>
      <c r="F365" s="6">
        <v>0.86783575002148405</v>
      </c>
      <c r="G365" s="6">
        <v>61.446762671852198</v>
      </c>
      <c r="H365" s="6">
        <v>43.286998201929499</v>
      </c>
      <c r="I365" t="str">
        <f t="shared" si="6"/>
        <v>boston</v>
      </c>
      <c r="J365" t="s">
        <v>982</v>
      </c>
    </row>
    <row r="366" spans="1:10" hidden="1" x14ac:dyDescent="0.2">
      <c r="A366" s="3" t="s">
        <v>642</v>
      </c>
      <c r="B366" s="6">
        <v>140.4365234375</v>
      </c>
      <c r="C366" s="6">
        <v>43.257977706231301</v>
      </c>
      <c r="D366" s="6">
        <v>21.0398896199193</v>
      </c>
      <c r="E366" s="6">
        <v>28.778014461269301</v>
      </c>
      <c r="F366" s="6">
        <v>0.852655012503303</v>
      </c>
      <c r="G366" s="6">
        <v>58.471156019423297</v>
      </c>
      <c r="H366" s="6">
        <v>40.630530052375398</v>
      </c>
      <c r="I366" t="str">
        <f t="shared" si="6"/>
        <v>boston</v>
      </c>
      <c r="J366" t="s">
        <v>982</v>
      </c>
    </row>
    <row r="367" spans="1:10" hidden="1" x14ac:dyDescent="0.2">
      <c r="A367" s="3" t="s">
        <v>643</v>
      </c>
      <c r="B367" s="6">
        <v>119.6826171875</v>
      </c>
      <c r="C367" s="6">
        <v>50.759250948553699</v>
      </c>
      <c r="D367" s="6">
        <v>20.395805751530599</v>
      </c>
      <c r="E367" s="6">
        <v>28.136311870856801</v>
      </c>
      <c r="F367" s="6">
        <v>0.83506673098568696</v>
      </c>
      <c r="G367" s="6">
        <v>55.1440327970327</v>
      </c>
      <c r="H367" s="6">
        <v>37.963604433966601</v>
      </c>
      <c r="I367" t="str">
        <f t="shared" si="6"/>
        <v>boston</v>
      </c>
      <c r="J367" t="s">
        <v>982</v>
      </c>
    </row>
    <row r="368" spans="1:10" hidden="1" x14ac:dyDescent="0.2">
      <c r="A368" s="3" t="s">
        <v>644</v>
      </c>
      <c r="B368" s="6">
        <v>102.6005859375</v>
      </c>
      <c r="C368" s="6">
        <v>59.210188172810597</v>
      </c>
      <c r="D368" s="6">
        <v>19.816318370557401</v>
      </c>
      <c r="E368" s="6">
        <v>27.563092966767101</v>
      </c>
      <c r="F368" s="6">
        <v>0.817638885043943</v>
      </c>
      <c r="G368" s="6">
        <v>52.050671627999598</v>
      </c>
      <c r="H368" s="6">
        <v>35.6795251566923</v>
      </c>
      <c r="I368" t="str">
        <f t="shared" si="6"/>
        <v>boston</v>
      </c>
      <c r="J368" t="s">
        <v>982</v>
      </c>
    </row>
    <row r="369" spans="1:10" hidden="1" x14ac:dyDescent="0.2">
      <c r="A369" s="3" t="s">
        <v>645</v>
      </c>
      <c r="B369" s="6">
        <v>87.7568359375</v>
      </c>
      <c r="C369" s="6">
        <v>69.225376406307404</v>
      </c>
      <c r="D369" s="6">
        <v>19.264818943006102</v>
      </c>
      <c r="E369" s="6">
        <v>27.011636002538999</v>
      </c>
      <c r="F369" s="6">
        <v>0.79864826369883002</v>
      </c>
      <c r="G369" s="6">
        <v>49.0624292886896</v>
      </c>
      <c r="H369" s="6">
        <v>33.520327817039998</v>
      </c>
      <c r="I369" t="str">
        <f t="shared" si="6"/>
        <v>boston</v>
      </c>
      <c r="J369" t="s">
        <v>982</v>
      </c>
    </row>
    <row r="370" spans="1:10" hidden="1" x14ac:dyDescent="0.2">
      <c r="A370" s="3" t="s">
        <v>438</v>
      </c>
      <c r="B370" s="6">
        <v>215.576171875</v>
      </c>
      <c r="C370" s="6">
        <v>28.180294450736099</v>
      </c>
      <c r="D370" s="6">
        <v>33.732860434266897</v>
      </c>
      <c r="E370" s="6">
        <v>42.579397290763602</v>
      </c>
      <c r="F370" s="6">
        <v>0.98789471692658704</v>
      </c>
      <c r="G370" s="6">
        <v>93.539427424952905</v>
      </c>
      <c r="H370" s="6">
        <v>86.255638025612399</v>
      </c>
      <c r="I370" t="str">
        <f t="shared" si="6"/>
        <v>bottle</v>
      </c>
      <c r="J370" t="s">
        <v>982</v>
      </c>
    </row>
    <row r="371" spans="1:10" hidden="1" x14ac:dyDescent="0.2">
      <c r="A371" s="3" t="s">
        <v>439</v>
      </c>
      <c r="B371" s="6">
        <v>191.599609375</v>
      </c>
      <c r="C371" s="6">
        <v>31.706745226760699</v>
      </c>
      <c r="D371" s="6">
        <v>33.1452095641827</v>
      </c>
      <c r="E371" s="6">
        <v>41.991738433724699</v>
      </c>
      <c r="F371" s="6">
        <v>0.98662558124939803</v>
      </c>
      <c r="G371" s="6">
        <v>92.382112660858795</v>
      </c>
      <c r="H371" s="6">
        <v>85.470208723234194</v>
      </c>
      <c r="I371" t="str">
        <f t="shared" si="6"/>
        <v>bottle</v>
      </c>
      <c r="J371" t="s">
        <v>982</v>
      </c>
    </row>
    <row r="372" spans="1:10" hidden="1" x14ac:dyDescent="0.2">
      <c r="A372" s="3" t="s">
        <v>440</v>
      </c>
      <c r="B372" s="6">
        <v>170.591796875</v>
      </c>
      <c r="C372" s="6">
        <v>35.611325463975398</v>
      </c>
      <c r="D372" s="6">
        <v>32.549688942570903</v>
      </c>
      <c r="E372" s="6">
        <v>41.396588273203001</v>
      </c>
      <c r="F372" s="6">
        <v>0.98515054307338301</v>
      </c>
      <c r="G372" s="6">
        <v>91.209314260680102</v>
      </c>
      <c r="H372" s="6">
        <v>84.570392221059606</v>
      </c>
      <c r="I372" t="str">
        <f t="shared" si="6"/>
        <v>bottle</v>
      </c>
      <c r="J372" t="s">
        <v>982</v>
      </c>
    </row>
    <row r="373" spans="1:10" hidden="1" x14ac:dyDescent="0.2">
      <c r="A373" s="3" t="s">
        <v>441</v>
      </c>
      <c r="B373" s="6">
        <v>152.169921875</v>
      </c>
      <c r="C373" s="6">
        <v>39.922475645287598</v>
      </c>
      <c r="D373" s="6">
        <v>31.959179466648902</v>
      </c>
      <c r="E373" s="6">
        <v>40.806972283083198</v>
      </c>
      <c r="F373" s="6">
        <v>0.98359485741680497</v>
      </c>
      <c r="G373" s="6">
        <v>90.046406895532499</v>
      </c>
      <c r="H373" s="6">
        <v>83.636336814121705</v>
      </c>
      <c r="I373" t="str">
        <f t="shared" si="6"/>
        <v>bottle</v>
      </c>
      <c r="J373" t="s">
        <v>982</v>
      </c>
    </row>
    <row r="374" spans="1:10" hidden="1" x14ac:dyDescent="0.2">
      <c r="A374" s="3" t="s">
        <v>442</v>
      </c>
      <c r="B374" s="6">
        <v>135.7548828125</v>
      </c>
      <c r="C374" s="6">
        <v>44.749771604094597</v>
      </c>
      <c r="D374" s="6">
        <v>31.354499278814799</v>
      </c>
      <c r="E374" s="6">
        <v>40.203355822418999</v>
      </c>
      <c r="F374" s="6">
        <v>0.98174923679749404</v>
      </c>
      <c r="G374" s="6">
        <v>88.854417860032996</v>
      </c>
      <c r="H374" s="6">
        <v>82.547774071759505</v>
      </c>
      <c r="I374" t="str">
        <f t="shared" si="6"/>
        <v>bottle</v>
      </c>
      <c r="J374" t="s">
        <v>982</v>
      </c>
    </row>
    <row r="375" spans="1:10" hidden="1" x14ac:dyDescent="0.2">
      <c r="A375" s="3" t="s">
        <v>443</v>
      </c>
      <c r="B375" s="6">
        <v>121.115234375</v>
      </c>
      <c r="C375" s="6">
        <v>50.158842785957297</v>
      </c>
      <c r="D375" s="6">
        <v>30.760056815834599</v>
      </c>
      <c r="E375" s="6">
        <v>39.608620693886003</v>
      </c>
      <c r="F375" s="6">
        <v>0.97972314864550203</v>
      </c>
      <c r="G375" s="6">
        <v>87.677928496115399</v>
      </c>
      <c r="H375" s="6">
        <v>81.376760769434895</v>
      </c>
      <c r="I375" t="str">
        <f t="shared" si="6"/>
        <v>bottle</v>
      </c>
      <c r="J375" t="s">
        <v>982</v>
      </c>
    </row>
    <row r="376" spans="1:10" hidden="1" x14ac:dyDescent="0.2">
      <c r="A376" s="3" t="s">
        <v>444</v>
      </c>
      <c r="B376" s="6">
        <v>108.1875</v>
      </c>
      <c r="C376" s="6">
        <v>56.1525129982669</v>
      </c>
      <c r="D376" s="6">
        <v>30.1644717991535</v>
      </c>
      <c r="E376" s="6">
        <v>39.014308257634703</v>
      </c>
      <c r="F376" s="6">
        <v>0.977622743406799</v>
      </c>
      <c r="G376" s="6">
        <v>86.499438019232798</v>
      </c>
      <c r="H376" s="6">
        <v>80.188742323276102</v>
      </c>
      <c r="I376" t="str">
        <f t="shared" si="6"/>
        <v>bottle</v>
      </c>
      <c r="J376" t="s">
        <v>982</v>
      </c>
    </row>
    <row r="377" spans="1:10" hidden="1" x14ac:dyDescent="0.2">
      <c r="A377" s="3" t="s">
        <v>445</v>
      </c>
      <c r="B377" s="6">
        <v>96.4765625</v>
      </c>
      <c r="C377" s="6">
        <v>62.968661430075301</v>
      </c>
      <c r="D377" s="6">
        <v>29.555922591536401</v>
      </c>
      <c r="E377" s="6">
        <v>38.405316453719799</v>
      </c>
      <c r="F377" s="6">
        <v>0.97507283812504197</v>
      </c>
      <c r="G377" s="6">
        <v>85.287705711535807</v>
      </c>
      <c r="H377" s="6">
        <v>78.781141126807597</v>
      </c>
      <c r="I377" t="str">
        <f t="shared" si="6"/>
        <v>bottle</v>
      </c>
      <c r="J377" t="s">
        <v>982</v>
      </c>
    </row>
    <row r="378" spans="1:10" hidden="1" x14ac:dyDescent="0.2">
      <c r="A378" s="3" t="s">
        <v>446</v>
      </c>
      <c r="B378" s="6">
        <v>85.896484375</v>
      </c>
      <c r="C378" s="6">
        <v>70.724664044202896</v>
      </c>
      <c r="D378" s="6">
        <v>28.974546892584399</v>
      </c>
      <c r="E378" s="6">
        <v>37.823863914351698</v>
      </c>
      <c r="F378" s="6">
        <v>0.97245313435974701</v>
      </c>
      <c r="G378" s="6">
        <v>84.125304114482802</v>
      </c>
      <c r="H378" s="6">
        <v>77.373575784539995</v>
      </c>
      <c r="I378" t="str">
        <f t="shared" si="6"/>
        <v>bottle</v>
      </c>
      <c r="J378" t="s">
        <v>982</v>
      </c>
    </row>
    <row r="379" spans="1:10" hidden="1" x14ac:dyDescent="0.2">
      <c r="A379" s="3" t="s">
        <v>447</v>
      </c>
      <c r="B379" s="6">
        <v>76.904296875</v>
      </c>
      <c r="C379" s="6">
        <v>78.994285714285695</v>
      </c>
      <c r="D379" s="6">
        <v>28.3873800237842</v>
      </c>
      <c r="E379" s="6">
        <v>37.238811185550198</v>
      </c>
      <c r="F379" s="6">
        <v>0.96953425434519902</v>
      </c>
      <c r="G379" s="6">
        <v>82.948184084002904</v>
      </c>
      <c r="H379" s="6">
        <v>75.849979061191803</v>
      </c>
      <c r="I379" t="str">
        <f t="shared" si="6"/>
        <v>bottle</v>
      </c>
      <c r="J379" t="s">
        <v>982</v>
      </c>
    </row>
    <row r="380" spans="1:10" hidden="1" x14ac:dyDescent="0.2">
      <c r="A380" s="3" t="s">
        <v>448</v>
      </c>
      <c r="B380" s="6">
        <v>68.6142578125</v>
      </c>
      <c r="C380" s="6">
        <v>88.538449495452696</v>
      </c>
      <c r="D380" s="6">
        <v>27.801957858213001</v>
      </c>
      <c r="E380" s="6">
        <v>36.6505950935694</v>
      </c>
      <c r="F380" s="6">
        <v>0.96640706671561105</v>
      </c>
      <c r="G380" s="6">
        <v>81.754133396072802</v>
      </c>
      <c r="H380" s="6">
        <v>74.268335376737696</v>
      </c>
      <c r="I380" t="str">
        <f t="shared" si="6"/>
        <v>bottle</v>
      </c>
      <c r="J380" t="s">
        <v>982</v>
      </c>
    </row>
    <row r="381" spans="1:10" hidden="1" x14ac:dyDescent="0.2">
      <c r="A381" s="3" t="s">
        <v>449</v>
      </c>
      <c r="B381" s="6">
        <v>61.4228515625</v>
      </c>
      <c r="C381" s="6">
        <v>98.904558246021296</v>
      </c>
      <c r="D381" s="6">
        <v>27.222702807220902</v>
      </c>
      <c r="E381" s="6">
        <v>36.076784667700302</v>
      </c>
      <c r="F381" s="6">
        <v>0.96297589482812196</v>
      </c>
      <c r="G381" s="6">
        <v>80.575192913531495</v>
      </c>
      <c r="H381" s="6">
        <v>72.591233817798596</v>
      </c>
      <c r="I381" t="str">
        <f t="shared" si="6"/>
        <v>bottle</v>
      </c>
      <c r="J381" t="s">
        <v>982</v>
      </c>
    </row>
    <row r="382" spans="1:10" hidden="1" x14ac:dyDescent="0.2">
      <c r="A382" s="3" t="s">
        <v>450</v>
      </c>
      <c r="B382" s="6">
        <v>54.5859375</v>
      </c>
      <c r="C382" s="6">
        <v>111.292400171748</v>
      </c>
      <c r="D382" s="6">
        <v>26.613329780196601</v>
      </c>
      <c r="E382" s="6">
        <v>35.468827628392297</v>
      </c>
      <c r="F382" s="6">
        <v>0.95898209423897696</v>
      </c>
      <c r="G382" s="6">
        <v>79.3049668206734</v>
      </c>
      <c r="H382" s="6">
        <v>70.713051497992197</v>
      </c>
      <c r="I382" t="str">
        <f t="shared" si="6"/>
        <v>bottle</v>
      </c>
      <c r="J382" t="s">
        <v>982</v>
      </c>
    </row>
    <row r="383" spans="1:10" hidden="1" x14ac:dyDescent="0.2">
      <c r="A383" s="3" t="s">
        <v>451</v>
      </c>
      <c r="B383" s="6">
        <v>48.8740234375</v>
      </c>
      <c r="C383" s="6">
        <v>124.299158790737</v>
      </c>
      <c r="D383" s="6">
        <v>26.031636436941501</v>
      </c>
      <c r="E383" s="6">
        <v>34.887241711342597</v>
      </c>
      <c r="F383" s="6">
        <v>0.95442546412161</v>
      </c>
      <c r="G383" s="6">
        <v>78.061749802815697</v>
      </c>
      <c r="H383" s="6">
        <v>68.663159470694197</v>
      </c>
      <c r="I383" t="str">
        <f t="shared" si="6"/>
        <v>bottle</v>
      </c>
      <c r="J383" t="s">
        <v>982</v>
      </c>
    </row>
    <row r="384" spans="1:10" hidden="1" x14ac:dyDescent="0.2">
      <c r="A384" s="3" t="s">
        <v>452</v>
      </c>
      <c r="B384" s="6">
        <v>43.6171875</v>
      </c>
      <c r="C384" s="6">
        <v>139.27995701235901</v>
      </c>
      <c r="D384" s="6">
        <v>25.446212986739798</v>
      </c>
      <c r="E384" s="6">
        <v>34.3058911634308</v>
      </c>
      <c r="F384" s="6">
        <v>0.94962102845020502</v>
      </c>
      <c r="G384" s="6">
        <v>76.781288493009598</v>
      </c>
      <c r="H384" s="6">
        <v>66.603992921659497</v>
      </c>
      <c r="I384" t="str">
        <f t="shared" si="6"/>
        <v>bottle</v>
      </c>
      <c r="J384" t="s">
        <v>982</v>
      </c>
    </row>
    <row r="385" spans="1:10" hidden="1" x14ac:dyDescent="0.2">
      <c r="A385" s="3" t="s">
        <v>453</v>
      </c>
      <c r="B385" s="6">
        <v>38.779296875</v>
      </c>
      <c r="C385" s="6">
        <v>156.655754218081</v>
      </c>
      <c r="D385" s="6">
        <v>24.852840224259499</v>
      </c>
      <c r="E385" s="6">
        <v>33.711874423978301</v>
      </c>
      <c r="F385" s="6">
        <v>0.94420680986274297</v>
      </c>
      <c r="G385" s="6">
        <v>75.419790430403495</v>
      </c>
      <c r="H385" s="6">
        <v>64.402562035284703</v>
      </c>
      <c r="I385" t="str">
        <f t="shared" si="6"/>
        <v>bottle</v>
      </c>
      <c r="J385" t="s">
        <v>982</v>
      </c>
    </row>
    <row r="386" spans="1:10" hidden="1" x14ac:dyDescent="0.2">
      <c r="A386" s="3" t="s">
        <v>358</v>
      </c>
      <c r="B386" s="6">
        <v>420.109375</v>
      </c>
      <c r="C386" s="6">
        <v>14.4605199538811</v>
      </c>
      <c r="D386" s="6">
        <v>34.094577580461802</v>
      </c>
      <c r="E386" s="6">
        <v>39.416083472710298</v>
      </c>
      <c r="F386" s="6">
        <v>0.98402390520923899</v>
      </c>
      <c r="G386" s="6">
        <v>87.296495186300902</v>
      </c>
      <c r="H386" s="6">
        <v>83.892423666463898</v>
      </c>
      <c r="I386" t="str">
        <f t="shared" si="6"/>
        <v>building</v>
      </c>
      <c r="J386" t="s">
        <v>982</v>
      </c>
    </row>
    <row r="387" spans="1:10" hidden="1" x14ac:dyDescent="0.2">
      <c r="A387" s="3" t="s">
        <v>359</v>
      </c>
      <c r="B387" s="6">
        <v>379.3955078125</v>
      </c>
      <c r="C387" s="6">
        <v>16.012313996617799</v>
      </c>
      <c r="D387" s="6">
        <v>33.379206250608398</v>
      </c>
      <c r="E387" s="6">
        <v>38.701227769114404</v>
      </c>
      <c r="F387" s="6">
        <v>0.981766106703029</v>
      </c>
      <c r="G387" s="6">
        <v>85.877106543000195</v>
      </c>
      <c r="H387" s="6">
        <v>82.5576290457157</v>
      </c>
      <c r="I387" t="str">
        <f t="shared" si="6"/>
        <v>building</v>
      </c>
      <c r="J387" t="s">
        <v>982</v>
      </c>
    </row>
    <row r="388" spans="1:10" hidden="1" x14ac:dyDescent="0.2">
      <c r="A388" s="3" t="s">
        <v>360</v>
      </c>
      <c r="B388" s="6">
        <v>340.900390625</v>
      </c>
      <c r="C388" s="6">
        <v>17.820454792856701</v>
      </c>
      <c r="D388" s="6">
        <v>32.665282618324603</v>
      </c>
      <c r="E388" s="6">
        <v>37.9877565549777</v>
      </c>
      <c r="F388" s="6">
        <v>0.97919072761519299</v>
      </c>
      <c r="G388" s="6">
        <v>84.453598395394394</v>
      </c>
      <c r="H388" s="6">
        <v>81.073139610165796</v>
      </c>
      <c r="I388" t="str">
        <f t="shared" si="6"/>
        <v>building</v>
      </c>
      <c r="J388" t="s">
        <v>982</v>
      </c>
    </row>
    <row r="389" spans="1:10" hidden="1" x14ac:dyDescent="0.2">
      <c r="A389" s="3" t="s">
        <v>361</v>
      </c>
      <c r="B389" s="6">
        <v>305.65625</v>
      </c>
      <c r="C389" s="6">
        <v>19.875268377466501</v>
      </c>
      <c r="D389" s="6">
        <v>31.9702089357604</v>
      </c>
      <c r="E389" s="6">
        <v>37.2935926083628</v>
      </c>
      <c r="F389" s="6">
        <v>0.97626113294265504</v>
      </c>
      <c r="G389" s="6">
        <v>83.058795637693805</v>
      </c>
      <c r="H389" s="6">
        <v>79.432433919460706</v>
      </c>
      <c r="I389" t="str">
        <f t="shared" si="6"/>
        <v>building</v>
      </c>
      <c r="J389" t="s">
        <v>982</v>
      </c>
    </row>
    <row r="390" spans="1:10" hidden="1" x14ac:dyDescent="0.2">
      <c r="A390" s="3" t="s">
        <v>362</v>
      </c>
      <c r="B390" s="6">
        <v>272.7080078125</v>
      </c>
      <c r="C390" s="6">
        <v>22.276573573068099</v>
      </c>
      <c r="D390" s="6">
        <v>31.2670027904976</v>
      </c>
      <c r="E390" s="6">
        <v>36.591497884579901</v>
      </c>
      <c r="F390" s="6">
        <v>0.97277526320237795</v>
      </c>
      <c r="G390" s="6">
        <v>81.633435970580607</v>
      </c>
      <c r="H390" s="6">
        <v>77.544584339823601</v>
      </c>
      <c r="I390" t="str">
        <f t="shared" si="6"/>
        <v>building</v>
      </c>
      <c r="J390" t="s">
        <v>982</v>
      </c>
    </row>
    <row r="391" spans="1:10" hidden="1" x14ac:dyDescent="0.2">
      <c r="A391" s="3" t="s">
        <v>363</v>
      </c>
      <c r="B391" s="6">
        <v>242.9951171875</v>
      </c>
      <c r="C391" s="6">
        <v>25.0005023570593</v>
      </c>
      <c r="D391" s="6">
        <v>30.561493596834602</v>
      </c>
      <c r="E391" s="6">
        <v>35.886231128643303</v>
      </c>
      <c r="F391" s="6">
        <v>0.96883124040357205</v>
      </c>
      <c r="G391" s="6">
        <v>80.179737597233199</v>
      </c>
      <c r="H391" s="6">
        <v>75.489905516117503</v>
      </c>
      <c r="I391" t="str">
        <f t="shared" si="6"/>
        <v>building</v>
      </c>
      <c r="J391" t="s">
        <v>982</v>
      </c>
    </row>
    <row r="392" spans="1:10" hidden="1" x14ac:dyDescent="0.2">
      <c r="A392" s="3" t="s">
        <v>364</v>
      </c>
      <c r="B392" s="6">
        <v>215.8125</v>
      </c>
      <c r="C392" s="6">
        <v>28.149435273675099</v>
      </c>
      <c r="D392" s="6">
        <v>29.886052674704299</v>
      </c>
      <c r="E392" s="6">
        <v>35.211745336410502</v>
      </c>
      <c r="F392" s="6">
        <v>0.96441147260459303</v>
      </c>
      <c r="G392" s="6">
        <v>78.759355917337203</v>
      </c>
      <c r="H392" s="6">
        <v>73.285637706643698</v>
      </c>
      <c r="I392" t="str">
        <f t="shared" si="6"/>
        <v>building</v>
      </c>
      <c r="J392" t="s">
        <v>982</v>
      </c>
    </row>
    <row r="393" spans="1:10" hidden="1" x14ac:dyDescent="0.2">
      <c r="A393" s="3" t="s">
        <v>365</v>
      </c>
      <c r="B393" s="6">
        <v>190.6748046875</v>
      </c>
      <c r="C393" s="6">
        <v>31.860528243133199</v>
      </c>
      <c r="D393" s="6">
        <v>29.2160783676674</v>
      </c>
      <c r="E393" s="6">
        <v>34.543016638942397</v>
      </c>
      <c r="F393" s="6">
        <v>0.95960909842162201</v>
      </c>
      <c r="G393" s="6">
        <v>77.308913732588906</v>
      </c>
      <c r="H393" s="6">
        <v>71.002782348617998</v>
      </c>
      <c r="I393" t="str">
        <f t="shared" si="6"/>
        <v>building</v>
      </c>
      <c r="J393" t="s">
        <v>982</v>
      </c>
    </row>
    <row r="394" spans="1:10" hidden="1" x14ac:dyDescent="0.2">
      <c r="A394" s="3" t="s">
        <v>366</v>
      </c>
      <c r="B394" s="6">
        <v>167.90625</v>
      </c>
      <c r="C394" s="6">
        <v>36.180904522613098</v>
      </c>
      <c r="D394" s="6">
        <v>28.551112770550301</v>
      </c>
      <c r="E394" s="6">
        <v>33.877830329075898</v>
      </c>
      <c r="F394" s="6">
        <v>0.95379942253517602</v>
      </c>
      <c r="G394" s="6">
        <v>75.806567107190304</v>
      </c>
      <c r="H394" s="6">
        <v>68.389008249977195</v>
      </c>
      <c r="I394" t="str">
        <f t="shared" si="6"/>
        <v>building</v>
      </c>
      <c r="J394" t="s">
        <v>982</v>
      </c>
    </row>
    <row r="395" spans="1:10" hidden="1" x14ac:dyDescent="0.2">
      <c r="A395" s="3" t="s">
        <v>367</v>
      </c>
      <c r="B395" s="6">
        <v>147.244140625</v>
      </c>
      <c r="C395" s="6">
        <v>41.258008462773098</v>
      </c>
      <c r="D395" s="6">
        <v>27.896492668408701</v>
      </c>
      <c r="E395" s="6">
        <v>33.224073984424301</v>
      </c>
      <c r="F395" s="6">
        <v>0.94737847621307503</v>
      </c>
      <c r="G395" s="6">
        <v>74.248409247119099</v>
      </c>
      <c r="H395" s="6">
        <v>65.677252920524793</v>
      </c>
      <c r="I395" t="str">
        <f t="shared" si="6"/>
        <v>building</v>
      </c>
      <c r="J395" t="s">
        <v>982</v>
      </c>
    </row>
    <row r="396" spans="1:10" hidden="1" x14ac:dyDescent="0.2">
      <c r="A396" s="3" t="s">
        <v>368</v>
      </c>
      <c r="B396" s="6">
        <v>128.640625</v>
      </c>
      <c r="C396" s="6">
        <v>47.224583991254697</v>
      </c>
      <c r="D396" s="6">
        <v>27.2686266372076</v>
      </c>
      <c r="E396" s="6">
        <v>32.598455153107601</v>
      </c>
      <c r="F396" s="6">
        <v>0.94048355484090396</v>
      </c>
      <c r="G396" s="6">
        <v>72.652867491787404</v>
      </c>
      <c r="H396" s="6">
        <v>62.958233126259302</v>
      </c>
      <c r="I396" t="str">
        <f t="shared" si="6"/>
        <v>building</v>
      </c>
      <c r="J396" t="s">
        <v>982</v>
      </c>
    </row>
    <row r="397" spans="1:10" hidden="1" x14ac:dyDescent="0.2">
      <c r="A397" s="3" t="s">
        <v>369</v>
      </c>
      <c r="B397" s="6">
        <v>111.701171875</v>
      </c>
      <c r="C397" s="6">
        <v>54.386179643650202</v>
      </c>
      <c r="D397" s="6">
        <v>26.655614400810599</v>
      </c>
      <c r="E397" s="6">
        <v>31.986108923100499</v>
      </c>
      <c r="F397" s="6">
        <v>0.93270065463362695</v>
      </c>
      <c r="G397" s="6">
        <v>70.958636357291994</v>
      </c>
      <c r="H397" s="6">
        <v>60.111060221997597</v>
      </c>
      <c r="I397" t="str">
        <f t="shared" si="6"/>
        <v>building</v>
      </c>
      <c r="J397" t="s">
        <v>982</v>
      </c>
    </row>
    <row r="398" spans="1:10" hidden="1" x14ac:dyDescent="0.2">
      <c r="A398" s="3" t="s">
        <v>370</v>
      </c>
      <c r="B398" s="6">
        <v>96.9833984375</v>
      </c>
      <c r="C398" s="6">
        <v>62.639586752726302</v>
      </c>
      <c r="D398" s="6">
        <v>26.0685432814584</v>
      </c>
      <c r="E398" s="6">
        <v>31.4003991238786</v>
      </c>
      <c r="F398" s="6">
        <v>0.92437086321175899</v>
      </c>
      <c r="G398" s="6">
        <v>69.179593055374795</v>
      </c>
      <c r="H398" s="6">
        <v>57.303308938019697</v>
      </c>
      <c r="I398" t="str">
        <f t="shared" si="6"/>
        <v>building</v>
      </c>
      <c r="J398" t="s">
        <v>982</v>
      </c>
    </row>
    <row r="399" spans="1:10" hidden="1" x14ac:dyDescent="0.2">
      <c r="A399" s="3" t="s">
        <v>371</v>
      </c>
      <c r="B399" s="6">
        <v>84.443359375</v>
      </c>
      <c r="C399" s="6">
        <v>71.941713889210106</v>
      </c>
      <c r="D399" s="6">
        <v>25.516750699511899</v>
      </c>
      <c r="E399" s="6">
        <v>30.847278772452299</v>
      </c>
      <c r="F399" s="6">
        <v>0.91578513938231398</v>
      </c>
      <c r="G399" s="6">
        <v>67.323488399697396</v>
      </c>
      <c r="H399" s="6">
        <v>54.645597077603</v>
      </c>
      <c r="I399" t="str">
        <f t="shared" si="6"/>
        <v>building</v>
      </c>
      <c r="J399" t="s">
        <v>982</v>
      </c>
    </row>
    <row r="400" spans="1:10" hidden="1" x14ac:dyDescent="0.2">
      <c r="A400" s="3" t="s">
        <v>372</v>
      </c>
      <c r="B400" s="6">
        <v>72.8857421875</v>
      </c>
      <c r="C400" s="6">
        <v>83.349634889797002</v>
      </c>
      <c r="D400" s="6">
        <v>24.9542845079642</v>
      </c>
      <c r="E400" s="6">
        <v>30.287550225599901</v>
      </c>
      <c r="F400" s="6">
        <v>0.90581715228537496</v>
      </c>
      <c r="G400" s="6">
        <v>65.240086314013496</v>
      </c>
      <c r="H400" s="6">
        <v>51.832061305044398</v>
      </c>
      <c r="I400" t="str">
        <f t="shared" si="6"/>
        <v>building</v>
      </c>
      <c r="J400" t="s">
        <v>982</v>
      </c>
    </row>
    <row r="401" spans="1:10" hidden="1" x14ac:dyDescent="0.2">
      <c r="A401" s="3" t="s">
        <v>373</v>
      </c>
      <c r="B401" s="6">
        <v>62.568359375</v>
      </c>
      <c r="C401" s="6">
        <v>97.093803652255303</v>
      </c>
      <c r="D401" s="6">
        <v>24.403073504239899</v>
      </c>
      <c r="E401" s="6">
        <v>29.737936137105599</v>
      </c>
      <c r="F401" s="6">
        <v>0.89483737359576099</v>
      </c>
      <c r="G401" s="6">
        <v>62.971283721952801</v>
      </c>
      <c r="H401" s="6">
        <v>49.0356577045238</v>
      </c>
      <c r="I401" t="str">
        <f t="shared" si="6"/>
        <v>building</v>
      </c>
      <c r="J401" t="s">
        <v>982</v>
      </c>
    </row>
    <row r="402" spans="1:10" hidden="1" x14ac:dyDescent="0.2">
      <c r="A402" s="3" t="s">
        <v>454</v>
      </c>
      <c r="B402" s="6">
        <v>288.560546875</v>
      </c>
      <c r="C402" s="6">
        <v>21.0527740738986</v>
      </c>
      <c r="D402" s="6">
        <v>34.636897291594202</v>
      </c>
      <c r="E402" s="6">
        <v>41.196224318491197</v>
      </c>
      <c r="F402" s="6">
        <v>0.97113882905814297</v>
      </c>
      <c r="G402" s="6">
        <v>90.814264591823502</v>
      </c>
      <c r="H402" s="6">
        <v>76.681784208303299</v>
      </c>
      <c r="I402" t="str">
        <f t="shared" si="6"/>
        <v>camera</v>
      </c>
      <c r="J402" t="s">
        <v>982</v>
      </c>
    </row>
    <row r="403" spans="1:10" hidden="1" x14ac:dyDescent="0.2">
      <c r="A403" s="3" t="s">
        <v>455</v>
      </c>
      <c r="B403" s="6">
        <v>244.3427734375</v>
      </c>
      <c r="C403" s="6">
        <v>24.862613755810202</v>
      </c>
      <c r="D403" s="6">
        <v>34.020353482663701</v>
      </c>
      <c r="E403" s="6">
        <v>40.5798556654969</v>
      </c>
      <c r="F403" s="6">
        <v>0.96682916876315395</v>
      </c>
      <c r="G403" s="6">
        <v>89.598111389332203</v>
      </c>
      <c r="H403" s="6">
        <v>74.478823678317397</v>
      </c>
      <c r="I403" t="str">
        <f t="shared" ref="I403:I466" si="7">MID(A403,1,(FIND("yuv",A403))-1)</f>
        <v>camera</v>
      </c>
      <c r="J403" t="s">
        <v>982</v>
      </c>
    </row>
    <row r="404" spans="1:10" hidden="1" x14ac:dyDescent="0.2">
      <c r="A404" s="3" t="s">
        <v>456</v>
      </c>
      <c r="B404" s="6">
        <v>202.9072265625</v>
      </c>
      <c r="C404" s="6">
        <v>29.9397912184698</v>
      </c>
      <c r="D404" s="6">
        <v>33.437142275100904</v>
      </c>
      <c r="E404" s="6">
        <v>39.9978701032801</v>
      </c>
      <c r="F404" s="6">
        <v>0.96226111201109199</v>
      </c>
      <c r="G404" s="6">
        <v>88.448196188971906</v>
      </c>
      <c r="H404" s="6">
        <v>72.249335083099098</v>
      </c>
      <c r="I404" t="str">
        <f t="shared" si="7"/>
        <v>camera</v>
      </c>
      <c r="J404" t="s">
        <v>982</v>
      </c>
    </row>
    <row r="405" spans="1:10" hidden="1" x14ac:dyDescent="0.2">
      <c r="A405" s="3" t="s">
        <v>457</v>
      </c>
      <c r="B405" s="6">
        <v>165.189453125</v>
      </c>
      <c r="C405" s="6">
        <v>36.775955638057603</v>
      </c>
      <c r="D405" s="6">
        <v>32.900069369420798</v>
      </c>
      <c r="E405" s="6">
        <v>39.460518670384403</v>
      </c>
      <c r="F405" s="6">
        <v>0.95754492599154795</v>
      </c>
      <c r="G405" s="6">
        <v>87.384553179176095</v>
      </c>
      <c r="H405" s="6">
        <v>70.056025607396407</v>
      </c>
      <c r="I405" t="str">
        <f t="shared" si="7"/>
        <v>camera</v>
      </c>
      <c r="J405" t="s">
        <v>982</v>
      </c>
    </row>
    <row r="406" spans="1:10" hidden="1" x14ac:dyDescent="0.2">
      <c r="A406" s="3" t="s">
        <v>458</v>
      </c>
      <c r="B406" s="6">
        <v>132.07421875</v>
      </c>
      <c r="C406" s="6">
        <v>45.996864925615903</v>
      </c>
      <c r="D406" s="6">
        <v>32.406863351533502</v>
      </c>
      <c r="E406" s="6">
        <v>38.967940896510299</v>
      </c>
      <c r="F406" s="6">
        <v>0.95306684646976303</v>
      </c>
      <c r="G406" s="6">
        <v>86.407344237685194</v>
      </c>
      <c r="H406" s="6">
        <v>68.070451283919297</v>
      </c>
      <c r="I406" t="str">
        <f t="shared" si="7"/>
        <v>camera</v>
      </c>
      <c r="J406" t="s">
        <v>982</v>
      </c>
    </row>
    <row r="407" spans="1:10" hidden="1" x14ac:dyDescent="0.2">
      <c r="A407" s="3" t="s">
        <v>459</v>
      </c>
      <c r="B407" s="6">
        <v>106.9833984375</v>
      </c>
      <c r="C407" s="6">
        <v>56.784511323493199</v>
      </c>
      <c r="D407" s="6">
        <v>32.000048612873101</v>
      </c>
      <c r="E407" s="6">
        <v>38.561528418329999</v>
      </c>
      <c r="F407" s="6">
        <v>0.94933201339533801</v>
      </c>
      <c r="G407" s="6">
        <v>85.599008836786794</v>
      </c>
      <c r="H407" s="6">
        <v>66.483350345645903</v>
      </c>
      <c r="I407" t="str">
        <f t="shared" si="7"/>
        <v>camera</v>
      </c>
      <c r="J407" t="s">
        <v>982</v>
      </c>
    </row>
    <row r="408" spans="1:10" hidden="1" x14ac:dyDescent="0.2">
      <c r="A408" s="3" t="s">
        <v>460</v>
      </c>
      <c r="B408" s="6">
        <v>86.2431640625</v>
      </c>
      <c r="C408" s="6">
        <v>70.440365518100407</v>
      </c>
      <c r="D408" s="6">
        <v>31.601180176005801</v>
      </c>
      <c r="E408" s="6">
        <v>38.162560982445903</v>
      </c>
      <c r="F408" s="6">
        <v>0.94557506370392896</v>
      </c>
      <c r="G408" s="6">
        <v>84.803161647371098</v>
      </c>
      <c r="H408" s="6">
        <v>64.947365341122605</v>
      </c>
      <c r="I408" t="str">
        <f t="shared" si="7"/>
        <v>camera</v>
      </c>
      <c r="J408" t="s">
        <v>982</v>
      </c>
    </row>
    <row r="409" spans="1:10" hidden="1" x14ac:dyDescent="0.2">
      <c r="A409" s="3" t="s">
        <v>461</v>
      </c>
      <c r="B409" s="6">
        <v>70.90234375</v>
      </c>
      <c r="C409" s="6">
        <v>85.6812296843149</v>
      </c>
      <c r="D409" s="6">
        <v>31.246423194768401</v>
      </c>
      <c r="E409" s="6">
        <v>37.808545843492801</v>
      </c>
      <c r="F409" s="6">
        <v>0.94238715831526898</v>
      </c>
      <c r="G409" s="6">
        <v>84.094591251122196</v>
      </c>
      <c r="H409" s="6">
        <v>63.689787530740396</v>
      </c>
      <c r="I409" t="str">
        <f t="shared" si="7"/>
        <v>camera</v>
      </c>
      <c r="J409" t="s">
        <v>982</v>
      </c>
    </row>
    <row r="410" spans="1:10" hidden="1" x14ac:dyDescent="0.2">
      <c r="A410" s="3" t="s">
        <v>462</v>
      </c>
      <c r="B410" s="6">
        <v>58.9287109375</v>
      </c>
      <c r="C410" s="6">
        <v>103.09066503157</v>
      </c>
      <c r="D410" s="6">
        <v>30.899849096080001</v>
      </c>
      <c r="E410" s="6">
        <v>37.463379967358499</v>
      </c>
      <c r="F410" s="6">
        <v>0.93944179241513004</v>
      </c>
      <c r="G410" s="6">
        <v>83.401071654483005</v>
      </c>
      <c r="H410" s="6">
        <v>62.563883385707001</v>
      </c>
      <c r="I410" t="str">
        <f t="shared" si="7"/>
        <v>camera</v>
      </c>
      <c r="J410" t="s">
        <v>982</v>
      </c>
    </row>
    <row r="411" spans="1:10" hidden="1" x14ac:dyDescent="0.2">
      <c r="A411" s="3" t="s">
        <v>463</v>
      </c>
      <c r="B411" s="6">
        <v>50.361328125</v>
      </c>
      <c r="C411" s="6">
        <v>120.628272251309</v>
      </c>
      <c r="D411" s="6">
        <v>30.553410359095501</v>
      </c>
      <c r="E411" s="6">
        <v>37.115209285620203</v>
      </c>
      <c r="F411" s="6">
        <v>0.936564776113465</v>
      </c>
      <c r="G411" s="6">
        <v>82.698275321772698</v>
      </c>
      <c r="H411" s="6">
        <v>61.496388048789903</v>
      </c>
      <c r="I411" t="str">
        <f t="shared" si="7"/>
        <v>camera</v>
      </c>
      <c r="J411" t="s">
        <v>982</v>
      </c>
    </row>
    <row r="412" spans="1:10" hidden="1" x14ac:dyDescent="0.2">
      <c r="A412" s="3" t="s">
        <v>464</v>
      </c>
      <c r="B412" s="6">
        <v>43.849609375</v>
      </c>
      <c r="C412" s="6">
        <v>138.54171306400599</v>
      </c>
      <c r="D412" s="6">
        <v>30.221486169261802</v>
      </c>
      <c r="E412" s="6">
        <v>36.784694538438799</v>
      </c>
      <c r="F412" s="6">
        <v>0.93362251652146999</v>
      </c>
      <c r="G412" s="6">
        <v>82.027473448511202</v>
      </c>
      <c r="H412" s="6">
        <v>60.436623318164301</v>
      </c>
      <c r="I412" t="str">
        <f t="shared" si="7"/>
        <v>camera</v>
      </c>
      <c r="J412" t="s">
        <v>982</v>
      </c>
    </row>
    <row r="413" spans="1:10" hidden="1" x14ac:dyDescent="0.2">
      <c r="A413" s="3" t="s">
        <v>465</v>
      </c>
      <c r="B413" s="6">
        <v>38.8173828125</v>
      </c>
      <c r="C413" s="6">
        <v>156.502050366047</v>
      </c>
      <c r="D413" s="6">
        <v>29.873815171027001</v>
      </c>
      <c r="E413" s="6">
        <v>36.437806664692403</v>
      </c>
      <c r="F413" s="6">
        <v>0.93043887596777297</v>
      </c>
      <c r="G413" s="6">
        <v>81.318819063685496</v>
      </c>
      <c r="H413" s="6">
        <v>59.3250973176198</v>
      </c>
      <c r="I413" t="str">
        <f t="shared" si="7"/>
        <v>camera</v>
      </c>
      <c r="J413" t="s">
        <v>982</v>
      </c>
    </row>
    <row r="414" spans="1:10" hidden="1" x14ac:dyDescent="0.2">
      <c r="A414" s="3" t="s">
        <v>466</v>
      </c>
      <c r="B414" s="6">
        <v>34.1494140625</v>
      </c>
      <c r="C414" s="6">
        <v>177.894706740256</v>
      </c>
      <c r="D414" s="6">
        <v>29.519283255707499</v>
      </c>
      <c r="E414" s="6">
        <v>36.083631001294698</v>
      </c>
      <c r="F414" s="6">
        <v>0.92729355696814897</v>
      </c>
      <c r="G414" s="6">
        <v>80.589360577444097</v>
      </c>
      <c r="H414" s="6">
        <v>58.261640183475897</v>
      </c>
      <c r="I414" t="str">
        <f t="shared" si="7"/>
        <v>camera</v>
      </c>
      <c r="J414" t="s">
        <v>982</v>
      </c>
    </row>
    <row r="415" spans="1:10" hidden="1" x14ac:dyDescent="0.2">
      <c r="A415" s="3" t="s">
        <v>467</v>
      </c>
      <c r="B415" s="6">
        <v>30.3681640625</v>
      </c>
      <c r="C415" s="6">
        <v>200.045020419976</v>
      </c>
      <c r="D415" s="6">
        <v>29.126327667048798</v>
      </c>
      <c r="E415" s="6">
        <v>35.690597513360999</v>
      </c>
      <c r="F415" s="6">
        <v>0.92343838884097496</v>
      </c>
      <c r="G415" s="6">
        <v>79.7713035520202</v>
      </c>
      <c r="H415" s="6">
        <v>57.003451630952199</v>
      </c>
      <c r="I415" t="str">
        <f t="shared" si="7"/>
        <v>camera</v>
      </c>
      <c r="J415" t="s">
        <v>982</v>
      </c>
    </row>
    <row r="416" spans="1:10" hidden="1" x14ac:dyDescent="0.2">
      <c r="A416" s="3" t="s">
        <v>468</v>
      </c>
      <c r="B416" s="6">
        <v>27.1640625</v>
      </c>
      <c r="C416" s="6">
        <v>223.64106988783399</v>
      </c>
      <c r="D416" s="6">
        <v>28.740741341402501</v>
      </c>
      <c r="E416" s="6">
        <v>35.306341169285197</v>
      </c>
      <c r="F416" s="6">
        <v>0.91955894475119204</v>
      </c>
      <c r="G416" s="6">
        <v>78.960789870832102</v>
      </c>
      <c r="H416" s="6">
        <v>55.7856685242418</v>
      </c>
      <c r="I416" t="str">
        <f t="shared" si="7"/>
        <v>camera</v>
      </c>
      <c r="J416" t="s">
        <v>982</v>
      </c>
    </row>
    <row r="417" spans="1:10" hidden="1" x14ac:dyDescent="0.2">
      <c r="A417" s="3" t="s">
        <v>469</v>
      </c>
      <c r="B417" s="6">
        <v>24.4013671875</v>
      </c>
      <c r="C417" s="6">
        <v>248.961459959179</v>
      </c>
      <c r="D417" s="6">
        <v>28.396968037545999</v>
      </c>
      <c r="E417" s="6">
        <v>34.958439858288102</v>
      </c>
      <c r="F417" s="6">
        <v>0.91603441416460096</v>
      </c>
      <c r="G417" s="6">
        <v>78.215740666324393</v>
      </c>
      <c r="H417" s="6">
        <v>54.7195854277088</v>
      </c>
      <c r="I417" t="str">
        <f t="shared" si="7"/>
        <v>camera</v>
      </c>
      <c r="J417" t="s">
        <v>982</v>
      </c>
    </row>
    <row r="418" spans="1:10" hidden="1" x14ac:dyDescent="0.2">
      <c r="A418" s="3" t="s">
        <v>374</v>
      </c>
      <c r="B418" s="6">
        <v>214.2265625</v>
      </c>
      <c r="C418" s="6">
        <v>28.3578279420882</v>
      </c>
      <c r="D418" s="6">
        <v>32.293970048037004</v>
      </c>
      <c r="E418" s="6">
        <v>42.774680048005202</v>
      </c>
      <c r="F418" s="6">
        <v>0.99027768653801196</v>
      </c>
      <c r="G418" s="6">
        <v>93.923888873739401</v>
      </c>
      <c r="H418" s="6">
        <v>87.758935262198506</v>
      </c>
      <c r="I418" t="str">
        <f t="shared" si="7"/>
        <v>character</v>
      </c>
      <c r="J418" t="s">
        <v>982</v>
      </c>
    </row>
    <row r="419" spans="1:10" hidden="1" x14ac:dyDescent="0.2">
      <c r="A419" s="3" t="s">
        <v>375</v>
      </c>
      <c r="B419" s="6">
        <v>170.521484375</v>
      </c>
      <c r="C419" s="6">
        <v>35.626009369237302</v>
      </c>
      <c r="D419" s="6">
        <v>31.8223184638187</v>
      </c>
      <c r="E419" s="6">
        <v>42.302733924140199</v>
      </c>
      <c r="F419" s="6">
        <v>0.98953306762802296</v>
      </c>
      <c r="G419" s="6">
        <v>92.994650940956106</v>
      </c>
      <c r="H419" s="6">
        <v>87.285148740285393</v>
      </c>
      <c r="I419" t="str">
        <f t="shared" si="7"/>
        <v>character</v>
      </c>
      <c r="J419" t="s">
        <v>982</v>
      </c>
    </row>
    <row r="420" spans="1:10" hidden="1" x14ac:dyDescent="0.2">
      <c r="A420" s="3" t="s">
        <v>376</v>
      </c>
      <c r="B420" s="6">
        <v>134.1630859375</v>
      </c>
      <c r="C420" s="6">
        <v>45.2807115873143</v>
      </c>
      <c r="D420" s="6">
        <v>31.3874827127778</v>
      </c>
      <c r="E420" s="6">
        <v>41.868847440181298</v>
      </c>
      <c r="F420" s="6">
        <v>0.98883700969047295</v>
      </c>
      <c r="G420" s="6">
        <v>92.140013053371305</v>
      </c>
      <c r="H420" s="6">
        <v>86.845595365582994</v>
      </c>
      <c r="I420" t="str">
        <f t="shared" si="7"/>
        <v>character</v>
      </c>
      <c r="J420" t="s">
        <v>982</v>
      </c>
    </row>
    <row r="421" spans="1:10" hidden="1" x14ac:dyDescent="0.2">
      <c r="A421" s="3" t="s">
        <v>377</v>
      </c>
      <c r="B421" s="6">
        <v>108.0673828125</v>
      </c>
      <c r="C421" s="6">
        <v>56.214926667931799</v>
      </c>
      <c r="D421" s="6">
        <v>31.017931537290199</v>
      </c>
      <c r="E421" s="6">
        <v>41.499080816219397</v>
      </c>
      <c r="F421" s="6">
        <v>0.98835598367948096</v>
      </c>
      <c r="G421" s="6">
        <v>91.411349173697104</v>
      </c>
      <c r="H421" s="6">
        <v>86.543702567400501</v>
      </c>
      <c r="I421" t="str">
        <f t="shared" si="7"/>
        <v>character</v>
      </c>
      <c r="J421" t="s">
        <v>982</v>
      </c>
    </row>
    <row r="422" spans="1:10" hidden="1" x14ac:dyDescent="0.2">
      <c r="A422" s="3" t="s">
        <v>378</v>
      </c>
      <c r="B422" s="6">
        <v>87.5927734375</v>
      </c>
      <c r="C422" s="6">
        <v>69.3550365126261</v>
      </c>
      <c r="D422" s="6">
        <v>30.651497835561798</v>
      </c>
      <c r="E422" s="6">
        <v>41.1310337912929</v>
      </c>
      <c r="F422" s="6">
        <v>0.98787329860304496</v>
      </c>
      <c r="G422" s="6">
        <v>90.685703763594702</v>
      </c>
      <c r="H422" s="6">
        <v>86.242295955667302</v>
      </c>
      <c r="I422" t="str">
        <f t="shared" si="7"/>
        <v>character</v>
      </c>
      <c r="J422" t="s">
        <v>982</v>
      </c>
    </row>
    <row r="423" spans="1:10" hidden="1" x14ac:dyDescent="0.2">
      <c r="A423" s="3" t="s">
        <v>379</v>
      </c>
      <c r="B423" s="6">
        <v>72.4599609375</v>
      </c>
      <c r="C423" s="6">
        <v>83.839404843731003</v>
      </c>
      <c r="D423" s="6">
        <v>30.303927369828099</v>
      </c>
      <c r="E423" s="6">
        <v>40.785682238522398</v>
      </c>
      <c r="F423" s="6">
        <v>0.98741091076050902</v>
      </c>
      <c r="G423" s="6">
        <v>90.004392666928496</v>
      </c>
      <c r="H423" s="6">
        <v>85.954991359203603</v>
      </c>
      <c r="I423" t="str">
        <f t="shared" si="7"/>
        <v>character</v>
      </c>
      <c r="J423" t="s">
        <v>982</v>
      </c>
    </row>
    <row r="424" spans="1:10" hidden="1" x14ac:dyDescent="0.2">
      <c r="A424" s="3" t="s">
        <v>380</v>
      </c>
      <c r="B424" s="6">
        <v>60.87890625</v>
      </c>
      <c r="C424" s="6">
        <v>99.788257940327199</v>
      </c>
      <c r="D424" s="6">
        <v>29.940433537532002</v>
      </c>
      <c r="E424" s="6">
        <v>40.421416947361998</v>
      </c>
      <c r="F424" s="6">
        <v>0.98685087943677696</v>
      </c>
      <c r="G424" s="6">
        <v>89.285237864219198</v>
      </c>
      <c r="H424" s="6">
        <v>85.608876717073599</v>
      </c>
      <c r="I424" t="str">
        <f t="shared" si="7"/>
        <v>character</v>
      </c>
      <c r="J424" t="s">
        <v>982</v>
      </c>
    </row>
    <row r="425" spans="1:10" hidden="1" x14ac:dyDescent="0.2">
      <c r="A425" s="3" t="s">
        <v>381</v>
      </c>
      <c r="B425" s="6">
        <v>52.3154296875</v>
      </c>
      <c r="C425" s="6">
        <v>116.122528980232</v>
      </c>
      <c r="D425" s="6">
        <v>29.596755334214901</v>
      </c>
      <c r="E425" s="6">
        <v>40.078674605049002</v>
      </c>
      <c r="F425" s="6">
        <v>0.98628059214810604</v>
      </c>
      <c r="G425" s="6">
        <v>88.607967854749106</v>
      </c>
      <c r="H425" s="6">
        <v>85.258506564437297</v>
      </c>
      <c r="I425" t="str">
        <f t="shared" si="7"/>
        <v>character</v>
      </c>
      <c r="J425" t="s">
        <v>982</v>
      </c>
    </row>
    <row r="426" spans="1:10" hidden="1" x14ac:dyDescent="0.2">
      <c r="A426" s="3" t="s">
        <v>382</v>
      </c>
      <c r="B426" s="6">
        <v>45.369140625</v>
      </c>
      <c r="C426" s="6">
        <v>133.901588531577</v>
      </c>
      <c r="D426" s="6">
        <v>29.234016972995001</v>
      </c>
      <c r="E426" s="6">
        <v>39.716598835206398</v>
      </c>
      <c r="F426" s="6">
        <v>0.98573981335898397</v>
      </c>
      <c r="G426" s="6">
        <v>87.891711537086195</v>
      </c>
      <c r="H426" s="6">
        <v>84.928195746364295</v>
      </c>
      <c r="I426" t="str">
        <f t="shared" si="7"/>
        <v>character</v>
      </c>
      <c r="J426" t="s">
        <v>982</v>
      </c>
    </row>
    <row r="427" spans="1:10" hidden="1" x14ac:dyDescent="0.2">
      <c r="A427" s="3" t="s">
        <v>383</v>
      </c>
      <c r="B427" s="6">
        <v>39.7548828125</v>
      </c>
      <c r="C427" s="6">
        <v>152.811417622639</v>
      </c>
      <c r="D427" s="6">
        <v>28.861609731827802</v>
      </c>
      <c r="E427" s="6">
        <v>39.344102836262699</v>
      </c>
      <c r="F427" s="6">
        <v>0.98512940902707702</v>
      </c>
      <c r="G427" s="6">
        <v>87.153812550213004</v>
      </c>
      <c r="H427" s="6">
        <v>84.557600699554101</v>
      </c>
      <c r="I427" t="str">
        <f t="shared" si="7"/>
        <v>character</v>
      </c>
      <c r="J427" t="s">
        <v>982</v>
      </c>
    </row>
    <row r="428" spans="1:10" hidden="1" x14ac:dyDescent="0.2">
      <c r="A428" s="3" t="s">
        <v>384</v>
      </c>
      <c r="B428" s="6">
        <v>34.541015625</v>
      </c>
      <c r="C428" s="6">
        <v>175.87786259542</v>
      </c>
      <c r="D428" s="6">
        <v>28.4867195564448</v>
      </c>
      <c r="E428" s="6">
        <v>38.970265039722399</v>
      </c>
      <c r="F428" s="6">
        <v>0.98445947278470303</v>
      </c>
      <c r="G428" s="6">
        <v>86.411960977346197</v>
      </c>
      <c r="H428" s="6">
        <v>84.153582866753993</v>
      </c>
      <c r="I428" t="str">
        <f t="shared" si="7"/>
        <v>character</v>
      </c>
      <c r="J428" t="s">
        <v>982</v>
      </c>
    </row>
    <row r="429" spans="1:10" hidden="1" x14ac:dyDescent="0.2">
      <c r="A429" s="3" t="s">
        <v>385</v>
      </c>
      <c r="B429" s="6">
        <v>29.8798828125</v>
      </c>
      <c r="C429" s="6">
        <v>203.31405039709799</v>
      </c>
      <c r="D429" s="6">
        <v>28.101549663148599</v>
      </c>
      <c r="E429" s="6">
        <v>38.585632462590802</v>
      </c>
      <c r="F429" s="6">
        <v>0.98367972573284801</v>
      </c>
      <c r="G429" s="6">
        <v>85.647011898300093</v>
      </c>
      <c r="H429" s="6">
        <v>83.686901045658502</v>
      </c>
      <c r="I429" t="str">
        <f t="shared" si="7"/>
        <v>character</v>
      </c>
      <c r="J429" t="s">
        <v>982</v>
      </c>
    </row>
    <row r="430" spans="1:10" hidden="1" x14ac:dyDescent="0.2">
      <c r="A430" s="3" t="s">
        <v>386</v>
      </c>
      <c r="B430" s="6">
        <v>26.5068359375</v>
      </c>
      <c r="C430" s="6">
        <v>229.18616217809401</v>
      </c>
      <c r="D430" s="6">
        <v>27.728499216969599</v>
      </c>
      <c r="E430" s="6">
        <v>38.2125430555446</v>
      </c>
      <c r="F430" s="6">
        <v>0.98272367678707795</v>
      </c>
      <c r="G430" s="6">
        <v>84.903008988035793</v>
      </c>
      <c r="H430" s="6">
        <v>83.119882946306504</v>
      </c>
      <c r="I430" t="str">
        <f t="shared" si="7"/>
        <v>character</v>
      </c>
      <c r="J430" t="s">
        <v>982</v>
      </c>
    </row>
    <row r="431" spans="1:10" hidden="1" x14ac:dyDescent="0.2">
      <c r="A431" s="3" t="s">
        <v>387</v>
      </c>
      <c r="B431" s="6">
        <v>23.2255859375</v>
      </c>
      <c r="C431" s="6">
        <v>261.564983391498</v>
      </c>
      <c r="D431" s="6">
        <v>27.3578578317106</v>
      </c>
      <c r="E431" s="6">
        <v>37.8440584516391</v>
      </c>
      <c r="F431" s="6">
        <v>0.98205953606492102</v>
      </c>
      <c r="G431" s="6">
        <v>84.1657865135913</v>
      </c>
      <c r="H431" s="6">
        <v>82.729322047781594</v>
      </c>
      <c r="I431" t="str">
        <f t="shared" si="7"/>
        <v>character</v>
      </c>
      <c r="J431" t="s">
        <v>982</v>
      </c>
    </row>
    <row r="432" spans="1:10" hidden="1" x14ac:dyDescent="0.2">
      <c r="A432" s="3" t="s">
        <v>388</v>
      </c>
      <c r="B432" s="6">
        <v>20.482421875</v>
      </c>
      <c r="C432" s="6">
        <v>296.59578525793802</v>
      </c>
      <c r="D432" s="6">
        <v>26.9933637813586</v>
      </c>
      <c r="E432" s="6">
        <v>37.480163579437097</v>
      </c>
      <c r="F432" s="6">
        <v>0.98130016534442299</v>
      </c>
      <c r="G432" s="6">
        <v>83.434862809929001</v>
      </c>
      <c r="H432" s="6">
        <v>82.286077168656007</v>
      </c>
      <c r="I432" t="str">
        <f t="shared" si="7"/>
        <v>character</v>
      </c>
      <c r="J432" t="s">
        <v>982</v>
      </c>
    </row>
    <row r="433" spans="1:10" hidden="1" x14ac:dyDescent="0.2">
      <c r="A433" s="3" t="s">
        <v>389</v>
      </c>
      <c r="B433" s="6">
        <v>18.037109375</v>
      </c>
      <c r="C433" s="6">
        <v>336.80563075257197</v>
      </c>
      <c r="D433" s="6">
        <v>26.62726130571</v>
      </c>
      <c r="E433" s="6">
        <v>37.112248799796298</v>
      </c>
      <c r="F433" s="6">
        <v>0.98039554740106805</v>
      </c>
      <c r="G433" s="6">
        <v>82.692283606246207</v>
      </c>
      <c r="H433" s="6">
        <v>81.762633418567503</v>
      </c>
      <c r="I433" t="str">
        <f t="shared" si="7"/>
        <v>character</v>
      </c>
      <c r="J433" t="s">
        <v>982</v>
      </c>
    </row>
    <row r="434" spans="1:10" hidden="1" x14ac:dyDescent="0.2">
      <c r="A434" s="3" t="s">
        <v>646</v>
      </c>
      <c r="B434" s="6">
        <v>803.8759765625</v>
      </c>
      <c r="C434" s="6">
        <v>7.5571358979747796</v>
      </c>
      <c r="D434" s="6">
        <v>30.5279336316433</v>
      </c>
      <c r="E434" s="6">
        <v>36.861709533987899</v>
      </c>
      <c r="F434" s="6">
        <v>0.98360957267209104</v>
      </c>
      <c r="G434" s="6">
        <v>82.184134670724902</v>
      </c>
      <c r="H434" s="6">
        <v>83.645100886046293</v>
      </c>
      <c r="I434" t="str">
        <f t="shared" si="7"/>
        <v>concord</v>
      </c>
      <c r="J434" t="s">
        <v>982</v>
      </c>
    </row>
    <row r="435" spans="1:10" hidden="1" x14ac:dyDescent="0.2">
      <c r="A435" s="3" t="s">
        <v>647</v>
      </c>
      <c r="B435" s="6">
        <v>726.888671875</v>
      </c>
      <c r="C435" s="6">
        <v>8.3575384168934903</v>
      </c>
      <c r="D435" s="6">
        <v>29.720557827790199</v>
      </c>
      <c r="E435" s="6">
        <v>36.0551526261075</v>
      </c>
      <c r="F435" s="6">
        <v>0.98049415370574</v>
      </c>
      <c r="G435" s="6">
        <v>80.530410107375801</v>
      </c>
      <c r="H435" s="6">
        <v>81.819449917709306</v>
      </c>
      <c r="I435" t="str">
        <f t="shared" si="7"/>
        <v>concord</v>
      </c>
      <c r="J435" t="s">
        <v>982</v>
      </c>
    </row>
    <row r="436" spans="1:10" hidden="1" x14ac:dyDescent="0.2">
      <c r="A436" s="3" t="s">
        <v>648</v>
      </c>
      <c r="B436" s="6">
        <v>654.5380859375</v>
      </c>
      <c r="C436" s="6">
        <v>9.2813544857343597</v>
      </c>
      <c r="D436" s="6">
        <v>28.947734504918898</v>
      </c>
      <c r="E436" s="6">
        <v>35.284437248375603</v>
      </c>
      <c r="F436" s="6">
        <v>0.97695865491276002</v>
      </c>
      <c r="G436" s="6">
        <v>78.914219172170505</v>
      </c>
      <c r="H436" s="6">
        <v>79.818527159919299</v>
      </c>
      <c r="I436" t="str">
        <f t="shared" si="7"/>
        <v>concord</v>
      </c>
      <c r="J436" t="s">
        <v>982</v>
      </c>
    </row>
    <row r="437" spans="1:10" hidden="1" x14ac:dyDescent="0.2">
      <c r="A437" s="3" t="s">
        <v>649</v>
      </c>
      <c r="B437" s="6">
        <v>585.7490234375</v>
      </c>
      <c r="C437" s="6">
        <v>10.371336113116399</v>
      </c>
      <c r="D437" s="6">
        <v>28.1802762006139</v>
      </c>
      <c r="E437" s="6">
        <v>34.518237256218299</v>
      </c>
      <c r="F437" s="6">
        <v>0.97282147969187704</v>
      </c>
      <c r="G437" s="6">
        <v>77.254144303064905</v>
      </c>
      <c r="H437" s="6">
        <v>77.569166541913305</v>
      </c>
      <c r="I437" t="str">
        <f t="shared" si="7"/>
        <v>concord</v>
      </c>
      <c r="J437" t="s">
        <v>982</v>
      </c>
    </row>
    <row r="438" spans="1:10" hidden="1" x14ac:dyDescent="0.2">
      <c r="A438" s="3" t="s">
        <v>650</v>
      </c>
      <c r="B438" s="6">
        <v>521.71484375</v>
      </c>
      <c r="C438" s="6">
        <v>11.644292035729499</v>
      </c>
      <c r="D438" s="6">
        <v>27.4079327730819</v>
      </c>
      <c r="E438" s="6">
        <v>33.747247627082501</v>
      </c>
      <c r="F438" s="6">
        <v>0.968031048249828</v>
      </c>
      <c r="G438" s="6">
        <v>75.502688199803103</v>
      </c>
      <c r="H438" s="6">
        <v>75.083259772524301</v>
      </c>
      <c r="I438" t="str">
        <f t="shared" si="7"/>
        <v>concord</v>
      </c>
      <c r="J438" t="s">
        <v>982</v>
      </c>
    </row>
    <row r="439" spans="1:10" hidden="1" x14ac:dyDescent="0.2">
      <c r="A439" s="3" t="s">
        <v>651</v>
      </c>
      <c r="B439" s="6">
        <v>463.1572265625</v>
      </c>
      <c r="C439" s="6">
        <v>13.116496195229301</v>
      </c>
      <c r="D439" s="6">
        <v>26.6845653156795</v>
      </c>
      <c r="E439" s="6">
        <v>33.025869875501698</v>
      </c>
      <c r="F439" s="6">
        <v>0.96270404566363899</v>
      </c>
      <c r="G439" s="6">
        <v>73.755517793220207</v>
      </c>
      <c r="H439" s="6">
        <v>72.460901805125104</v>
      </c>
      <c r="I439" t="str">
        <f t="shared" si="7"/>
        <v>concord</v>
      </c>
      <c r="J439" t="s">
        <v>982</v>
      </c>
    </row>
    <row r="440" spans="1:10" hidden="1" x14ac:dyDescent="0.2">
      <c r="A440" s="3" t="s">
        <v>652</v>
      </c>
      <c r="B440" s="6">
        <v>409.369140625</v>
      </c>
      <c r="C440" s="6">
        <v>14.839907059738399</v>
      </c>
      <c r="D440" s="6">
        <v>25.9877747065017</v>
      </c>
      <c r="E440" s="6">
        <v>32.331750159261198</v>
      </c>
      <c r="F440" s="6">
        <v>0.95687929458643495</v>
      </c>
      <c r="G440" s="6">
        <v>71.933247293064298</v>
      </c>
      <c r="H440" s="6">
        <v>69.755024349375205</v>
      </c>
      <c r="I440" t="str">
        <f t="shared" si="7"/>
        <v>concord</v>
      </c>
      <c r="J440" t="s">
        <v>982</v>
      </c>
    </row>
    <row r="441" spans="1:10" hidden="1" x14ac:dyDescent="0.2">
      <c r="A441" s="3" t="s">
        <v>653</v>
      </c>
      <c r="B441" s="6">
        <v>359.53125</v>
      </c>
      <c r="C441" s="6">
        <v>16.897001303781</v>
      </c>
      <c r="D441" s="6">
        <v>25.293553057160899</v>
      </c>
      <c r="E441" s="6">
        <v>31.639040855281799</v>
      </c>
      <c r="F441" s="6">
        <v>0.95035038679685002</v>
      </c>
      <c r="G441" s="6">
        <v>69.925560624244</v>
      </c>
      <c r="H441" s="6">
        <v>66.910051066952306</v>
      </c>
      <c r="I441" t="str">
        <f t="shared" si="7"/>
        <v>concord</v>
      </c>
      <c r="J441" t="s">
        <v>982</v>
      </c>
    </row>
    <row r="442" spans="1:10" hidden="1" x14ac:dyDescent="0.2">
      <c r="A442" s="3" t="s">
        <v>654</v>
      </c>
      <c r="B442" s="6">
        <v>313.6669921875</v>
      </c>
      <c r="C442" s="6">
        <v>19.367673842992598</v>
      </c>
      <c r="D442" s="6">
        <v>24.614570004558999</v>
      </c>
      <c r="E442" s="6">
        <v>30.9599498626981</v>
      </c>
      <c r="F442" s="6">
        <v>0.94301802612019903</v>
      </c>
      <c r="G442" s="6">
        <v>67.717006139530696</v>
      </c>
      <c r="H442" s="6">
        <v>63.935397820718698</v>
      </c>
      <c r="I442" t="str">
        <f t="shared" si="7"/>
        <v>concord</v>
      </c>
      <c r="J442" t="s">
        <v>982</v>
      </c>
    </row>
    <row r="443" spans="1:10" hidden="1" x14ac:dyDescent="0.2">
      <c r="A443" s="3" t="s">
        <v>655</v>
      </c>
      <c r="B443" s="6">
        <v>272.083984375</v>
      </c>
      <c r="C443" s="6">
        <v>22.3276647978924</v>
      </c>
      <c r="D443" s="6">
        <v>23.948473636364099</v>
      </c>
      <c r="E443" s="6">
        <v>30.296839151324399</v>
      </c>
      <c r="F443" s="6">
        <v>0.93493813727967201</v>
      </c>
      <c r="G443" s="6">
        <v>65.276485707728497</v>
      </c>
      <c r="H443" s="6">
        <v>60.906567889888898</v>
      </c>
      <c r="I443" t="str">
        <f t="shared" si="7"/>
        <v>concord</v>
      </c>
      <c r="J443" t="s">
        <v>982</v>
      </c>
    </row>
    <row r="444" spans="1:10" hidden="1" x14ac:dyDescent="0.2">
      <c r="A444" s="3" t="s">
        <v>656</v>
      </c>
      <c r="B444" s="6">
        <v>235.2509765625</v>
      </c>
      <c r="C444" s="6">
        <v>25.823484725837201</v>
      </c>
      <c r="D444" s="6">
        <v>23.321025206735801</v>
      </c>
      <c r="E444" s="6">
        <v>29.672442988048701</v>
      </c>
      <c r="F444" s="6">
        <v>0.926350890859304</v>
      </c>
      <c r="G444" s="6">
        <v>62.685658029244202</v>
      </c>
      <c r="H444" s="6">
        <v>57.949452320151302</v>
      </c>
      <c r="I444" t="str">
        <f t="shared" si="7"/>
        <v>concord</v>
      </c>
      <c r="J444" t="s">
        <v>982</v>
      </c>
    </row>
    <row r="445" spans="1:10" hidden="1" x14ac:dyDescent="0.2">
      <c r="A445" s="3" t="s">
        <v>657</v>
      </c>
      <c r="B445" s="6">
        <v>203.16796875</v>
      </c>
      <c r="C445" s="6">
        <v>29.901367018515302</v>
      </c>
      <c r="D445" s="6">
        <v>22.728209830646801</v>
      </c>
      <c r="E445" s="6">
        <v>29.081049097465598</v>
      </c>
      <c r="F445" s="6">
        <v>0.91721286302744598</v>
      </c>
      <c r="G445" s="6">
        <v>59.961771609861302</v>
      </c>
      <c r="H445" s="6">
        <v>55.071867542441197</v>
      </c>
      <c r="I445" t="str">
        <f t="shared" si="7"/>
        <v>concord</v>
      </c>
      <c r="J445" t="s">
        <v>982</v>
      </c>
    </row>
    <row r="446" spans="1:10" hidden="1" x14ac:dyDescent="0.2">
      <c r="A446" s="3" t="s">
        <v>658</v>
      </c>
      <c r="B446" s="6">
        <v>174.2626953125</v>
      </c>
      <c r="C446" s="6">
        <v>34.861161702485397</v>
      </c>
      <c r="D446" s="6">
        <v>22.1214496687242</v>
      </c>
      <c r="E446" s="6">
        <v>28.482493366784698</v>
      </c>
      <c r="F446" s="6">
        <v>0.90696817798364204</v>
      </c>
      <c r="G446" s="6">
        <v>56.964020816899101</v>
      </c>
      <c r="H446" s="6">
        <v>52.142974159957902</v>
      </c>
      <c r="I446" t="str">
        <f t="shared" si="7"/>
        <v>concord</v>
      </c>
      <c r="J446" t="s">
        <v>982</v>
      </c>
    </row>
    <row r="447" spans="1:10" hidden="1" x14ac:dyDescent="0.2">
      <c r="A447" s="3" t="s">
        <v>659</v>
      </c>
      <c r="B447" s="6">
        <v>148.140625</v>
      </c>
      <c r="C447" s="6">
        <v>41.008332454382497</v>
      </c>
      <c r="D447" s="6">
        <v>21.5334905220137</v>
      </c>
      <c r="E447" s="6">
        <v>27.8923999899575</v>
      </c>
      <c r="F447" s="6">
        <v>0.89613284400211402</v>
      </c>
      <c r="G447" s="6">
        <v>53.8358808334687</v>
      </c>
      <c r="H447" s="6">
        <v>49.350281403108099</v>
      </c>
      <c r="I447" t="str">
        <f t="shared" si="7"/>
        <v>concord</v>
      </c>
      <c r="J447" t="s">
        <v>982</v>
      </c>
    </row>
    <row r="448" spans="1:10" hidden="1" x14ac:dyDescent="0.2">
      <c r="A448" s="3" t="s">
        <v>660</v>
      </c>
      <c r="B448" s="6">
        <v>125.6142578125</v>
      </c>
      <c r="C448" s="6">
        <v>48.362344416888902</v>
      </c>
      <c r="D448" s="6">
        <v>20.975355403825699</v>
      </c>
      <c r="E448" s="6">
        <v>27.335559348920398</v>
      </c>
      <c r="F448" s="6">
        <v>0.88426952313057305</v>
      </c>
      <c r="G448" s="6">
        <v>50.8136928967144</v>
      </c>
      <c r="H448" s="6">
        <v>46.610123285303899</v>
      </c>
      <c r="I448" t="str">
        <f t="shared" si="7"/>
        <v>concord</v>
      </c>
      <c r="J448" t="s">
        <v>982</v>
      </c>
    </row>
    <row r="449" spans="1:10" hidden="1" x14ac:dyDescent="0.2">
      <c r="A449" s="3" t="s">
        <v>661</v>
      </c>
      <c r="B449" s="6">
        <v>106.392578125</v>
      </c>
      <c r="C449" s="6">
        <v>57.099847630936402</v>
      </c>
      <c r="D449" s="6">
        <v>20.4558887778295</v>
      </c>
      <c r="E449" s="6">
        <v>26.819482313652099</v>
      </c>
      <c r="F449" s="6">
        <v>0.87211721163115796</v>
      </c>
      <c r="G449" s="6">
        <v>48.0356377063232</v>
      </c>
      <c r="H449" s="6">
        <v>44.104584113337502</v>
      </c>
      <c r="I449" t="str">
        <f t="shared" si="7"/>
        <v>concord</v>
      </c>
      <c r="J449" t="s">
        <v>982</v>
      </c>
    </row>
    <row r="450" spans="1:10" hidden="1" x14ac:dyDescent="0.2">
      <c r="A450" s="3" t="s">
        <v>470</v>
      </c>
      <c r="B450" s="6">
        <v>411.19921875</v>
      </c>
      <c r="C450" s="6">
        <v>14.7738607540825</v>
      </c>
      <c r="D450" s="6">
        <v>35.6290814600845</v>
      </c>
      <c r="E450" s="6">
        <v>39.713587869159099</v>
      </c>
      <c r="F450" s="6">
        <v>0.98468425401868098</v>
      </c>
      <c r="G450" s="6">
        <v>87.885751413390196</v>
      </c>
      <c r="H450" s="6">
        <v>84.288825261217397</v>
      </c>
      <c r="I450" t="str">
        <f t="shared" si="7"/>
        <v>deskchair</v>
      </c>
      <c r="J450" t="s">
        <v>982</v>
      </c>
    </row>
    <row r="451" spans="1:10" hidden="1" x14ac:dyDescent="0.2">
      <c r="A451" s="3" t="s">
        <v>471</v>
      </c>
      <c r="B451" s="6">
        <v>361.98046875</v>
      </c>
      <c r="C451" s="6">
        <v>16.782673443620698</v>
      </c>
      <c r="D451" s="6">
        <v>34.866672665697301</v>
      </c>
      <c r="E451" s="6">
        <v>38.952002160651801</v>
      </c>
      <c r="F451" s="6">
        <v>0.98224881536575603</v>
      </c>
      <c r="G451" s="6">
        <v>86.3756814413168</v>
      </c>
      <c r="H451" s="6">
        <v>82.840354619209606</v>
      </c>
      <c r="I451" t="str">
        <f t="shared" si="7"/>
        <v>deskchair</v>
      </c>
      <c r="J451" t="s">
        <v>982</v>
      </c>
    </row>
    <row r="452" spans="1:10" hidden="1" x14ac:dyDescent="0.2">
      <c r="A452" s="3" t="s">
        <v>472</v>
      </c>
      <c r="B452" s="6">
        <v>316.3017578125</v>
      </c>
      <c r="C452" s="6">
        <v>19.206342835442602</v>
      </c>
      <c r="D452" s="6">
        <v>34.107766676718803</v>
      </c>
      <c r="E452" s="6">
        <v>38.193343407777</v>
      </c>
      <c r="F452" s="6">
        <v>0.97947754902111805</v>
      </c>
      <c r="G452" s="6">
        <v>84.8646598106006</v>
      </c>
      <c r="H452" s="6">
        <v>81.236493511299798</v>
      </c>
      <c r="I452" t="str">
        <f t="shared" si="7"/>
        <v>deskchair</v>
      </c>
      <c r="J452" t="s">
        <v>982</v>
      </c>
    </row>
    <row r="453" spans="1:10" hidden="1" x14ac:dyDescent="0.2">
      <c r="A453" s="3" t="s">
        <v>473</v>
      </c>
      <c r="B453" s="6">
        <v>273.4072265625</v>
      </c>
      <c r="C453" s="6">
        <v>22.219602884605099</v>
      </c>
      <c r="D453" s="6">
        <v>33.387135982224301</v>
      </c>
      <c r="E453" s="6">
        <v>37.4730580093754</v>
      </c>
      <c r="F453" s="6">
        <v>0.97649466319429401</v>
      </c>
      <c r="G453" s="6">
        <v>83.420557780329702</v>
      </c>
      <c r="H453" s="6">
        <v>79.561384225289899</v>
      </c>
      <c r="I453" t="str">
        <f t="shared" si="7"/>
        <v>deskchair</v>
      </c>
      <c r="J453" t="s">
        <v>982</v>
      </c>
    </row>
    <row r="454" spans="1:10" hidden="1" x14ac:dyDescent="0.2">
      <c r="A454" s="3" t="s">
        <v>474</v>
      </c>
      <c r="B454" s="6">
        <v>234.224609375</v>
      </c>
      <c r="C454" s="6">
        <v>25.936642679052401</v>
      </c>
      <c r="D454" s="6">
        <v>32.6965020733996</v>
      </c>
      <c r="E454" s="6">
        <v>36.782134699749101</v>
      </c>
      <c r="F454" s="6">
        <v>0.97326985935077104</v>
      </c>
      <c r="G454" s="6">
        <v>82.022262385411096</v>
      </c>
      <c r="H454" s="6">
        <v>77.808273666173406</v>
      </c>
      <c r="I454" t="str">
        <f t="shared" si="7"/>
        <v>deskchair</v>
      </c>
      <c r="J454" t="s">
        <v>982</v>
      </c>
    </row>
    <row r="455" spans="1:10" hidden="1" x14ac:dyDescent="0.2">
      <c r="A455" s="3" t="s">
        <v>475</v>
      </c>
      <c r="B455" s="6">
        <v>198.728515625</v>
      </c>
      <c r="C455" s="6">
        <v>30.569342204837401</v>
      </c>
      <c r="D455" s="6">
        <v>32.040870070315997</v>
      </c>
      <c r="E455" s="6">
        <v>36.127006981368098</v>
      </c>
      <c r="F455" s="6">
        <v>0.96981922969103396</v>
      </c>
      <c r="G455" s="6">
        <v>80.679059492185402</v>
      </c>
      <c r="H455" s="6">
        <v>75.996693440066593</v>
      </c>
      <c r="I455" t="str">
        <f t="shared" si="7"/>
        <v>deskchair</v>
      </c>
      <c r="J455" t="s">
        <v>982</v>
      </c>
    </row>
    <row r="456" spans="1:10" hidden="1" x14ac:dyDescent="0.2">
      <c r="A456" s="3" t="s">
        <v>476</v>
      </c>
      <c r="B456" s="6">
        <v>167.5341796875</v>
      </c>
      <c r="C456" s="6">
        <v>36.261257322724497</v>
      </c>
      <c r="D456" s="6">
        <v>31.4119837151284</v>
      </c>
      <c r="E456" s="6">
        <v>35.498353580144702</v>
      </c>
      <c r="F456" s="6">
        <v>0.96611841543255395</v>
      </c>
      <c r="G456" s="6">
        <v>79.367273315347006</v>
      </c>
      <c r="H456" s="6">
        <v>74.124926764556406</v>
      </c>
      <c r="I456" t="str">
        <f t="shared" si="7"/>
        <v>deskchair</v>
      </c>
      <c r="J456" t="s">
        <v>982</v>
      </c>
    </row>
    <row r="457" spans="1:10" hidden="1" x14ac:dyDescent="0.2">
      <c r="A457" s="3" t="s">
        <v>477</v>
      </c>
      <c r="B457" s="6">
        <v>140.173828125</v>
      </c>
      <c r="C457" s="6">
        <v>43.339046106257598</v>
      </c>
      <c r="D457" s="6">
        <v>30.842472665356599</v>
      </c>
      <c r="E457" s="6">
        <v>34.9295312852297</v>
      </c>
      <c r="F457" s="6">
        <v>0.96239448308485998</v>
      </c>
      <c r="G457" s="6">
        <v>78.153282168251096</v>
      </c>
      <c r="H457" s="6">
        <v>72.312937081614095</v>
      </c>
      <c r="I457" t="str">
        <f t="shared" si="7"/>
        <v>deskchair</v>
      </c>
      <c r="J457" t="s">
        <v>982</v>
      </c>
    </row>
    <row r="458" spans="1:10" hidden="1" x14ac:dyDescent="0.2">
      <c r="A458" s="3" t="s">
        <v>478</v>
      </c>
      <c r="B458" s="6">
        <v>117.5283203125</v>
      </c>
      <c r="C458" s="6">
        <v>51.6896692120417</v>
      </c>
      <c r="D458" s="6">
        <v>30.327748239755199</v>
      </c>
      <c r="E458" s="6">
        <v>34.415093264935301</v>
      </c>
      <c r="F458" s="6">
        <v>0.95877102481797305</v>
      </c>
      <c r="G458" s="6">
        <v>77.025264659450997</v>
      </c>
      <c r="H458" s="6">
        <v>70.615942504395704</v>
      </c>
      <c r="I458" t="str">
        <f t="shared" si="7"/>
        <v>deskchair</v>
      </c>
      <c r="J458" t="s">
        <v>982</v>
      </c>
    </row>
    <row r="459" spans="1:10" hidden="1" x14ac:dyDescent="0.2">
      <c r="A459" s="3" t="s">
        <v>479</v>
      </c>
      <c r="B459" s="6">
        <v>98.1875</v>
      </c>
      <c r="C459" s="6">
        <v>61.871419478039499</v>
      </c>
      <c r="D459" s="6">
        <v>29.839484479842</v>
      </c>
      <c r="E459" s="6">
        <v>33.927004715843204</v>
      </c>
      <c r="F459" s="6">
        <v>0.95491675050675895</v>
      </c>
      <c r="G459" s="6">
        <v>75.920157483390099</v>
      </c>
      <c r="H459" s="6">
        <v>68.879547467442805</v>
      </c>
      <c r="I459" t="str">
        <f t="shared" si="7"/>
        <v>deskchair</v>
      </c>
      <c r="J459" t="s">
        <v>982</v>
      </c>
    </row>
    <row r="460" spans="1:10" hidden="1" x14ac:dyDescent="0.2">
      <c r="A460" s="3" t="s">
        <v>480</v>
      </c>
      <c r="B460" s="6">
        <v>82.3720703125</v>
      </c>
      <c r="C460" s="6">
        <v>73.750726149687594</v>
      </c>
      <c r="D460" s="6">
        <v>29.386314103090601</v>
      </c>
      <c r="E460" s="6">
        <v>33.474764751328401</v>
      </c>
      <c r="F460" s="6">
        <v>0.95118787997434795</v>
      </c>
      <c r="G460" s="6">
        <v>74.857277214971703</v>
      </c>
      <c r="H460" s="6">
        <v>67.2643396718411</v>
      </c>
      <c r="I460" t="str">
        <f t="shared" si="7"/>
        <v>deskchair</v>
      </c>
      <c r="J460" t="s">
        <v>982</v>
      </c>
    </row>
    <row r="461" spans="1:10" hidden="1" x14ac:dyDescent="0.2">
      <c r="A461" s="3" t="s">
        <v>481</v>
      </c>
      <c r="B461" s="6">
        <v>69.6142578125</v>
      </c>
      <c r="C461" s="6">
        <v>87.266605877814399</v>
      </c>
      <c r="D461" s="6">
        <v>28.961613654319098</v>
      </c>
      <c r="E461" s="6">
        <v>33.048852467512397</v>
      </c>
      <c r="F461" s="6">
        <v>0.94745176362380701</v>
      </c>
      <c r="G461" s="6">
        <v>73.8132276259512</v>
      </c>
      <c r="H461" s="6">
        <v>65.707201759083105</v>
      </c>
      <c r="I461" t="str">
        <f t="shared" si="7"/>
        <v>deskchair</v>
      </c>
      <c r="J461" t="s">
        <v>982</v>
      </c>
    </row>
    <row r="462" spans="1:10" hidden="1" x14ac:dyDescent="0.2">
      <c r="A462" s="3" t="s">
        <v>482</v>
      </c>
      <c r="B462" s="6">
        <v>59.9599609375</v>
      </c>
      <c r="C462" s="6">
        <v>101.31761103601001</v>
      </c>
      <c r="D462" s="6">
        <v>28.5460209486304</v>
      </c>
      <c r="E462" s="6">
        <v>32.635940939417999</v>
      </c>
      <c r="F462" s="6">
        <v>0.94367352027763696</v>
      </c>
      <c r="G462" s="6">
        <v>72.751952513983994</v>
      </c>
      <c r="H462" s="6">
        <v>64.192286142092399</v>
      </c>
      <c r="I462" t="str">
        <f t="shared" si="7"/>
        <v>deskchair</v>
      </c>
      <c r="J462" t="s">
        <v>982</v>
      </c>
    </row>
    <row r="463" spans="1:10" hidden="1" x14ac:dyDescent="0.2">
      <c r="A463" s="3" t="s">
        <v>483</v>
      </c>
      <c r="B463" s="6">
        <v>51.69140625</v>
      </c>
      <c r="C463" s="6">
        <v>117.524370890954</v>
      </c>
      <c r="D463" s="6">
        <v>28.164068324998802</v>
      </c>
      <c r="E463" s="6">
        <v>32.251231041781701</v>
      </c>
      <c r="F463" s="6">
        <v>0.94012820068844305</v>
      </c>
      <c r="G463" s="6">
        <v>71.710652243015005</v>
      </c>
      <c r="H463" s="6">
        <v>62.8232441021444</v>
      </c>
      <c r="I463" t="str">
        <f t="shared" si="7"/>
        <v>deskchair</v>
      </c>
      <c r="J463" t="s">
        <v>982</v>
      </c>
    </row>
    <row r="464" spans="1:10" hidden="1" x14ac:dyDescent="0.2">
      <c r="A464" s="3" t="s">
        <v>484</v>
      </c>
      <c r="B464" s="6">
        <v>44.6962890625</v>
      </c>
      <c r="C464" s="6">
        <v>135.91732395289401</v>
      </c>
      <c r="D464" s="6">
        <v>27.755708954629501</v>
      </c>
      <c r="E464" s="6">
        <v>31.845260343993999</v>
      </c>
      <c r="F464" s="6">
        <v>0.93584691255353403</v>
      </c>
      <c r="G464" s="6">
        <v>70.546393129402702</v>
      </c>
      <c r="H464" s="6">
        <v>61.234883754691701</v>
      </c>
      <c r="I464" t="str">
        <f t="shared" si="7"/>
        <v>deskchair</v>
      </c>
      <c r="J464" t="s">
        <v>982</v>
      </c>
    </row>
    <row r="465" spans="1:10" hidden="1" x14ac:dyDescent="0.2">
      <c r="A465" s="3" t="s">
        <v>485</v>
      </c>
      <c r="B465" s="6">
        <v>38.8203125</v>
      </c>
      <c r="C465" s="6">
        <v>156.49023948480601</v>
      </c>
      <c r="D465" s="6">
        <v>27.3661669585249</v>
      </c>
      <c r="E465" s="6">
        <v>31.454129749963201</v>
      </c>
      <c r="F465" s="6">
        <v>0.93195822899369996</v>
      </c>
      <c r="G465" s="6">
        <v>69.350246507005494</v>
      </c>
      <c r="H465" s="6">
        <v>59.851075859159401</v>
      </c>
      <c r="I465" t="str">
        <f t="shared" si="7"/>
        <v>deskchair</v>
      </c>
      <c r="J465" t="s">
        <v>982</v>
      </c>
    </row>
    <row r="466" spans="1:10" x14ac:dyDescent="0.2">
      <c r="A466" s="3" t="s">
        <v>390</v>
      </c>
      <c r="B466" s="6">
        <v>399.0908203125</v>
      </c>
      <c r="C466" s="6">
        <v>15.222099058162</v>
      </c>
      <c r="D466" s="6">
        <v>34.252218711391897</v>
      </c>
      <c r="E466" s="6">
        <v>41.177905584623403</v>
      </c>
      <c r="F466" s="6">
        <v>0.99383974423624999</v>
      </c>
      <c r="G466" s="6">
        <v>90.778140021157498</v>
      </c>
      <c r="H466" s="6">
        <v>90.077328929332694</v>
      </c>
      <c r="I466" t="str">
        <f t="shared" si="7"/>
        <v>earth</v>
      </c>
      <c r="J466" t="s">
        <v>982</v>
      </c>
    </row>
    <row r="467" spans="1:10" x14ac:dyDescent="0.2">
      <c r="A467" s="3" t="s">
        <v>391</v>
      </c>
      <c r="B467" s="6">
        <v>354.6435546875</v>
      </c>
      <c r="C467" s="6">
        <v>17.129875672922001</v>
      </c>
      <c r="D467" s="6">
        <v>33.550986942732898</v>
      </c>
      <c r="E467" s="6">
        <v>40.477221609857601</v>
      </c>
      <c r="F467" s="6">
        <v>0.99290554541166398</v>
      </c>
      <c r="G467" s="6">
        <v>89.395450739068195</v>
      </c>
      <c r="H467" s="6">
        <v>89.460889348330994</v>
      </c>
      <c r="I467" t="str">
        <f t="shared" ref="I467:I530" si="8">MID(A467,1,(FIND("yuv",A467))-1)</f>
        <v>earth</v>
      </c>
      <c r="J467" t="s">
        <v>982</v>
      </c>
    </row>
    <row r="468" spans="1:10" x14ac:dyDescent="0.2">
      <c r="A468" s="3" t="s">
        <v>392</v>
      </c>
      <c r="B468" s="6">
        <v>314.1474609375</v>
      </c>
      <c r="C468" s="6">
        <v>19.338052206026401</v>
      </c>
      <c r="D468" s="6">
        <v>32.837006742626002</v>
      </c>
      <c r="E468" s="6">
        <v>39.764018990659103</v>
      </c>
      <c r="F468" s="6">
        <v>0.99179000708947396</v>
      </c>
      <c r="G468" s="6">
        <v>87.985569545861196</v>
      </c>
      <c r="H468" s="6">
        <v>88.732664980347394</v>
      </c>
      <c r="I468" t="str">
        <f t="shared" si="8"/>
        <v>earth</v>
      </c>
      <c r="J468" t="s">
        <v>982</v>
      </c>
    </row>
    <row r="469" spans="1:10" x14ac:dyDescent="0.2">
      <c r="A469" s="3" t="s">
        <v>393</v>
      </c>
      <c r="B469" s="6">
        <v>277.6083984375</v>
      </c>
      <c r="C469" s="6">
        <v>21.8833437107549</v>
      </c>
      <c r="D469" s="6">
        <v>32.153080568773703</v>
      </c>
      <c r="E469" s="6">
        <v>39.081711117136798</v>
      </c>
      <c r="F469" s="6">
        <v>0.9905544849247</v>
      </c>
      <c r="G469" s="6">
        <v>86.633269465605906</v>
      </c>
      <c r="H469" s="6">
        <v>87.936002604150403</v>
      </c>
      <c r="I469" t="str">
        <f t="shared" si="8"/>
        <v>earth</v>
      </c>
      <c r="J469" t="s">
        <v>982</v>
      </c>
    </row>
    <row r="470" spans="1:10" x14ac:dyDescent="0.2">
      <c r="A470" s="3" t="s">
        <v>394</v>
      </c>
      <c r="B470" s="6">
        <v>244.7822265625</v>
      </c>
      <c r="C470" s="6">
        <v>24.817978352888598</v>
      </c>
      <c r="D470" s="6">
        <v>31.464694003922901</v>
      </c>
      <c r="E470" s="6">
        <v>38.393273783731601</v>
      </c>
      <c r="F470" s="6">
        <v>0.98916840895523495</v>
      </c>
      <c r="G470" s="6">
        <v>85.263691267807701</v>
      </c>
      <c r="H470" s="6">
        <v>87.054470268535894</v>
      </c>
      <c r="I470" t="str">
        <f t="shared" si="8"/>
        <v>earth</v>
      </c>
      <c r="J470" t="s">
        <v>982</v>
      </c>
    </row>
    <row r="471" spans="1:10" x14ac:dyDescent="0.2">
      <c r="A471" s="3" t="s">
        <v>395</v>
      </c>
      <c r="B471" s="6">
        <v>214.771484375</v>
      </c>
      <c r="C471" s="6">
        <v>28.285877977137801</v>
      </c>
      <c r="D471" s="6">
        <v>30.7827987444774</v>
      </c>
      <c r="E471" s="6">
        <v>37.712189421454198</v>
      </c>
      <c r="F471" s="6">
        <v>0.98756792435623497</v>
      </c>
      <c r="G471" s="6">
        <v>83.901275494240195</v>
      </c>
      <c r="H471" s="6">
        <v>86.052395515891902</v>
      </c>
      <c r="I471" t="str">
        <f t="shared" si="8"/>
        <v>earth</v>
      </c>
      <c r="J471" t="s">
        <v>982</v>
      </c>
    </row>
    <row r="472" spans="1:10" x14ac:dyDescent="0.2">
      <c r="A472" s="3" t="s">
        <v>396</v>
      </c>
      <c r="B472" s="6">
        <v>188.115234375</v>
      </c>
      <c r="C472" s="6">
        <v>32.294035197009798</v>
      </c>
      <c r="D472" s="6">
        <v>30.121464099210598</v>
      </c>
      <c r="E472" s="6">
        <v>37.052435332963697</v>
      </c>
      <c r="F472" s="6">
        <v>0.98582961005179803</v>
      </c>
      <c r="G472" s="6">
        <v>82.571165583573602</v>
      </c>
      <c r="H472" s="6">
        <v>84.982914471954203</v>
      </c>
      <c r="I472" t="str">
        <f t="shared" si="8"/>
        <v>earth</v>
      </c>
      <c r="J472" t="s">
        <v>982</v>
      </c>
    </row>
    <row r="473" spans="1:10" x14ac:dyDescent="0.2">
      <c r="A473" s="3" t="s">
        <v>397</v>
      </c>
      <c r="B473" s="6">
        <v>164.7578125</v>
      </c>
      <c r="C473" s="6">
        <v>36.872303096400998</v>
      </c>
      <c r="D473" s="6">
        <v>29.490013949390299</v>
      </c>
      <c r="E473" s="6">
        <v>36.421333746535403</v>
      </c>
      <c r="F473" s="6">
        <v>0.98394997236945303</v>
      </c>
      <c r="G473" s="6">
        <v>81.285032987283898</v>
      </c>
      <c r="H473" s="6">
        <v>83.848213008169296</v>
      </c>
      <c r="I473" t="str">
        <f t="shared" si="8"/>
        <v>earth</v>
      </c>
      <c r="J473" t="s">
        <v>982</v>
      </c>
    </row>
    <row r="474" spans="1:10" x14ac:dyDescent="0.2">
      <c r="A474" s="3" t="s">
        <v>398</v>
      </c>
      <c r="B474" s="6">
        <v>143.3935546875</v>
      </c>
      <c r="C474" s="6">
        <v>42.365920931658003</v>
      </c>
      <c r="D474" s="6">
        <v>28.851227711978702</v>
      </c>
      <c r="E474" s="6">
        <v>35.783309695354603</v>
      </c>
      <c r="F474" s="6">
        <v>0.98181831928575303</v>
      </c>
      <c r="G474" s="6">
        <v>79.965187852972505</v>
      </c>
      <c r="H474" s="6">
        <v>82.588141363017897</v>
      </c>
      <c r="I474" t="str">
        <f t="shared" si="8"/>
        <v>earth</v>
      </c>
      <c r="J474" t="s">
        <v>982</v>
      </c>
    </row>
    <row r="475" spans="1:10" x14ac:dyDescent="0.2">
      <c r="A475" s="3" t="s">
        <v>399</v>
      </c>
      <c r="B475" s="6">
        <v>125.0234375</v>
      </c>
      <c r="C475" s="6">
        <v>48.590889208273403</v>
      </c>
      <c r="D475" s="6">
        <v>28.225368789768499</v>
      </c>
      <c r="E475" s="6">
        <v>35.159318838861097</v>
      </c>
      <c r="F475" s="6">
        <v>0.97953303030980599</v>
      </c>
      <c r="G475" s="6">
        <v>78.647362116610097</v>
      </c>
      <c r="H475" s="6">
        <v>81.268148539290706</v>
      </c>
      <c r="I475" t="str">
        <f t="shared" si="8"/>
        <v>earth</v>
      </c>
      <c r="J475" t="s">
        <v>982</v>
      </c>
    </row>
    <row r="476" spans="1:10" x14ac:dyDescent="0.2">
      <c r="A476" s="3" t="s">
        <v>400</v>
      </c>
      <c r="B476" s="6">
        <v>108.7607421875</v>
      </c>
      <c r="C476" s="6">
        <v>55.856551525980699</v>
      </c>
      <c r="D476" s="6">
        <v>27.620548587514001</v>
      </c>
      <c r="E476" s="6">
        <v>34.554937829280398</v>
      </c>
      <c r="F476" s="6">
        <v>0.97703940227669495</v>
      </c>
      <c r="G476" s="6">
        <v>77.335233738524195</v>
      </c>
      <c r="H476" s="6">
        <v>79.863404808223095</v>
      </c>
      <c r="I476" t="str">
        <f t="shared" si="8"/>
        <v>earth</v>
      </c>
      <c r="J476" t="s">
        <v>982</v>
      </c>
    </row>
    <row r="477" spans="1:10" x14ac:dyDescent="0.2">
      <c r="A477" s="3" t="s">
        <v>401</v>
      </c>
      <c r="B477" s="6">
        <v>94.892578125</v>
      </c>
      <c r="C477" s="6">
        <v>64.019759184933605</v>
      </c>
      <c r="D477" s="6">
        <v>27.0315732358217</v>
      </c>
      <c r="E477" s="6">
        <v>33.968121312244897</v>
      </c>
      <c r="F477" s="6">
        <v>0.974341299114029</v>
      </c>
      <c r="G477" s="6">
        <v>76.014793696848798</v>
      </c>
      <c r="H477" s="6">
        <v>78.384198532090295</v>
      </c>
      <c r="I477" t="str">
        <f t="shared" si="8"/>
        <v>earth</v>
      </c>
      <c r="J477" t="s">
        <v>982</v>
      </c>
    </row>
    <row r="478" spans="1:10" x14ac:dyDescent="0.2">
      <c r="A478" s="3" t="s">
        <v>402</v>
      </c>
      <c r="B478" s="6">
        <v>82.2119140625</v>
      </c>
      <c r="C478" s="6">
        <v>73.894399239769598</v>
      </c>
      <c r="D478" s="6">
        <v>26.4506361094022</v>
      </c>
      <c r="E478" s="6">
        <v>33.3871591409372</v>
      </c>
      <c r="F478" s="6">
        <v>0.97144049874152705</v>
      </c>
      <c r="G478" s="6">
        <v>74.646244737571095</v>
      </c>
      <c r="H478" s="6">
        <v>76.839730911047795</v>
      </c>
      <c r="I478" t="str">
        <f t="shared" si="8"/>
        <v>earth</v>
      </c>
      <c r="J478" t="s">
        <v>982</v>
      </c>
    </row>
    <row r="479" spans="1:10" x14ac:dyDescent="0.2">
      <c r="A479" s="3" t="s">
        <v>403</v>
      </c>
      <c r="B479" s="6">
        <v>71.5810546875</v>
      </c>
      <c r="C479" s="6">
        <v>84.868824949862898</v>
      </c>
      <c r="D479" s="6">
        <v>25.8743022968081</v>
      </c>
      <c r="E479" s="6">
        <v>32.812718510465103</v>
      </c>
      <c r="F479" s="6">
        <v>0.96830953875251602</v>
      </c>
      <c r="G479" s="6">
        <v>73.212859800885099</v>
      </c>
      <c r="H479" s="6">
        <v>75.224399566124703</v>
      </c>
      <c r="I479" t="str">
        <f t="shared" si="8"/>
        <v>earth</v>
      </c>
      <c r="J479" t="s">
        <v>982</v>
      </c>
    </row>
    <row r="480" spans="1:10" x14ac:dyDescent="0.2">
      <c r="A480" s="3" t="s">
        <v>404</v>
      </c>
      <c r="B480" s="6">
        <v>62.283203125</v>
      </c>
      <c r="C480" s="6">
        <v>97.538336103358503</v>
      </c>
      <c r="D480" s="6">
        <v>25.318313179224099</v>
      </c>
      <c r="E480" s="6">
        <v>32.259298836030197</v>
      </c>
      <c r="F480" s="6">
        <v>0.96476630317654199</v>
      </c>
      <c r="G480" s="6">
        <v>71.733072796283395</v>
      </c>
      <c r="H480" s="6">
        <v>73.458878438516194</v>
      </c>
      <c r="I480" t="str">
        <f t="shared" si="8"/>
        <v>earth</v>
      </c>
      <c r="J480" t="s">
        <v>982</v>
      </c>
    </row>
    <row r="481" spans="1:10" x14ac:dyDescent="0.2">
      <c r="A481" s="3" t="s">
        <v>405</v>
      </c>
      <c r="B481" s="6">
        <v>54.236328125</v>
      </c>
      <c r="C481" s="6">
        <v>112.00979509525</v>
      </c>
      <c r="D481" s="6">
        <v>24.769055692712701</v>
      </c>
      <c r="E481" s="6">
        <v>31.713568542546</v>
      </c>
      <c r="F481" s="6">
        <v>0.96101344791742305</v>
      </c>
      <c r="G481" s="6">
        <v>70.152378430716595</v>
      </c>
      <c r="H481" s="6">
        <v>71.658601903853395</v>
      </c>
      <c r="I481" t="str">
        <f t="shared" si="8"/>
        <v>earth</v>
      </c>
      <c r="J481" t="s">
        <v>982</v>
      </c>
    </row>
    <row r="482" spans="1:10" hidden="1" x14ac:dyDescent="0.2">
      <c r="A482" s="3" t="s">
        <v>406</v>
      </c>
      <c r="B482" s="6">
        <v>157.8828125</v>
      </c>
      <c r="C482" s="6">
        <v>38.477905883517202</v>
      </c>
      <c r="D482" s="6">
        <v>37.290818879632702</v>
      </c>
      <c r="E482" s="6">
        <v>43.206935325126203</v>
      </c>
      <c r="F482" s="6">
        <v>0.98844123336437195</v>
      </c>
      <c r="G482" s="6">
        <v>94.774717208811296</v>
      </c>
      <c r="H482" s="6">
        <v>86.597094414365102</v>
      </c>
      <c r="I482" t="str">
        <f t="shared" si="8"/>
        <v>flower</v>
      </c>
      <c r="J482" t="s">
        <v>982</v>
      </c>
    </row>
    <row r="483" spans="1:10" hidden="1" x14ac:dyDescent="0.2">
      <c r="A483" s="3" t="s">
        <v>407</v>
      </c>
      <c r="B483" s="6">
        <v>122.0625</v>
      </c>
      <c r="C483" s="6">
        <v>49.769585253456199</v>
      </c>
      <c r="D483" s="6">
        <v>36.8950569301089</v>
      </c>
      <c r="E483" s="6">
        <v>42.811608786044403</v>
      </c>
      <c r="F483" s="6">
        <v>0.98748986995832799</v>
      </c>
      <c r="G483" s="6">
        <v>93.996586234745095</v>
      </c>
      <c r="H483" s="6">
        <v>86.003954034409205</v>
      </c>
      <c r="I483" t="str">
        <f t="shared" si="8"/>
        <v>flower</v>
      </c>
      <c r="J483" t="s">
        <v>982</v>
      </c>
    </row>
    <row r="484" spans="1:10" hidden="1" x14ac:dyDescent="0.2">
      <c r="A484" s="3" t="s">
        <v>408</v>
      </c>
      <c r="B484" s="6">
        <v>94.8583984375</v>
      </c>
      <c r="C484" s="6">
        <v>64.042826993359796</v>
      </c>
      <c r="D484" s="6">
        <v>36.580744189877002</v>
      </c>
      <c r="E484" s="6">
        <v>42.497976591745299</v>
      </c>
      <c r="F484" s="6">
        <v>0.98671260856107301</v>
      </c>
      <c r="G484" s="6">
        <v>93.379114832227302</v>
      </c>
      <c r="H484" s="6">
        <v>85.523734023830201</v>
      </c>
      <c r="I484" t="str">
        <f t="shared" si="8"/>
        <v>flower</v>
      </c>
      <c r="J484" t="s">
        <v>982</v>
      </c>
    </row>
    <row r="485" spans="1:10" hidden="1" x14ac:dyDescent="0.2">
      <c r="A485" s="3" t="s">
        <v>409</v>
      </c>
      <c r="B485" s="6">
        <v>71.8779296875</v>
      </c>
      <c r="C485" s="6">
        <v>84.518294091273503</v>
      </c>
      <c r="D485" s="6">
        <v>36.308332654331203</v>
      </c>
      <c r="E485" s="6">
        <v>42.225622343164702</v>
      </c>
      <c r="F485" s="6">
        <v>0.98604724646056796</v>
      </c>
      <c r="G485" s="6">
        <v>92.842788291832605</v>
      </c>
      <c r="H485" s="6">
        <v>85.115747881817697</v>
      </c>
      <c r="I485" t="str">
        <f t="shared" si="8"/>
        <v>flower</v>
      </c>
      <c r="J485" t="s">
        <v>982</v>
      </c>
    </row>
    <row r="486" spans="1:10" hidden="1" x14ac:dyDescent="0.2">
      <c r="A486" s="3" t="s">
        <v>410</v>
      </c>
      <c r="B486" s="6">
        <v>55.412109375</v>
      </c>
      <c r="C486" s="6">
        <v>109.633076028339</v>
      </c>
      <c r="D486" s="6">
        <v>36.089795554790001</v>
      </c>
      <c r="E486" s="6">
        <v>42.006813458069097</v>
      </c>
      <c r="F486" s="6">
        <v>0.98557899578432795</v>
      </c>
      <c r="G486" s="6">
        <v>92.411808812919801</v>
      </c>
      <c r="H486" s="6">
        <v>84.830328242098602</v>
      </c>
      <c r="I486" t="str">
        <f t="shared" si="8"/>
        <v>flower</v>
      </c>
      <c r="J486" t="s">
        <v>982</v>
      </c>
    </row>
    <row r="487" spans="1:10" hidden="1" x14ac:dyDescent="0.2">
      <c r="A487" s="3" t="s">
        <v>411</v>
      </c>
      <c r="B487" s="6">
        <v>44.7724609375</v>
      </c>
      <c r="C487" s="6">
        <v>135.68608633062101</v>
      </c>
      <c r="D487" s="6">
        <v>35.9127918105509</v>
      </c>
      <c r="E487" s="6">
        <v>41.829451953186997</v>
      </c>
      <c r="F487" s="6">
        <v>0.98524253426128605</v>
      </c>
      <c r="G487" s="6">
        <v>92.062395620143604</v>
      </c>
      <c r="H487" s="6">
        <v>84.626103529890798</v>
      </c>
      <c r="I487" t="str">
        <f t="shared" si="8"/>
        <v>flower</v>
      </c>
      <c r="J487" t="s">
        <v>982</v>
      </c>
    </row>
    <row r="488" spans="1:10" hidden="1" x14ac:dyDescent="0.2">
      <c r="A488" s="3" t="s">
        <v>412</v>
      </c>
      <c r="B488" s="6">
        <v>37.89453125</v>
      </c>
      <c r="C488" s="6">
        <v>160.31336975569499</v>
      </c>
      <c r="D488" s="6">
        <v>35.746155189338303</v>
      </c>
      <c r="E488" s="6">
        <v>41.662999638927502</v>
      </c>
      <c r="F488" s="6">
        <v>0.98495817619814097</v>
      </c>
      <c r="G488" s="6">
        <v>91.734409861135703</v>
      </c>
      <c r="H488" s="6">
        <v>84.454065348826802</v>
      </c>
      <c r="I488" t="str">
        <f t="shared" si="8"/>
        <v>flower</v>
      </c>
      <c r="J488" t="s">
        <v>982</v>
      </c>
    </row>
    <row r="489" spans="1:10" hidden="1" x14ac:dyDescent="0.2">
      <c r="A489" s="3" t="s">
        <v>413</v>
      </c>
      <c r="B489" s="6">
        <v>32.859375</v>
      </c>
      <c r="C489" s="6">
        <v>184.87874465049899</v>
      </c>
      <c r="D489" s="6">
        <v>35.569804446995903</v>
      </c>
      <c r="E489" s="6">
        <v>41.486238229890603</v>
      </c>
      <c r="F489" s="6">
        <v>0.98462305974561803</v>
      </c>
      <c r="G489" s="6">
        <v>91.386035264518895</v>
      </c>
      <c r="H489" s="6">
        <v>84.251975395591899</v>
      </c>
      <c r="I489" t="str">
        <f t="shared" si="8"/>
        <v>flower</v>
      </c>
      <c r="J489" t="s">
        <v>982</v>
      </c>
    </row>
    <row r="490" spans="1:10" hidden="1" x14ac:dyDescent="0.2">
      <c r="A490" s="3" t="s">
        <v>414</v>
      </c>
      <c r="B490" s="6">
        <v>29.216796875</v>
      </c>
      <c r="C490" s="6">
        <v>207.92833745571201</v>
      </c>
      <c r="D490" s="6">
        <v>35.388257844224199</v>
      </c>
      <c r="E490" s="6">
        <v>41.304519550338398</v>
      </c>
      <c r="F490" s="6">
        <v>0.98433949648820596</v>
      </c>
      <c r="G490" s="6">
        <v>91.027801191348601</v>
      </c>
      <c r="H490" s="6">
        <v>84.081527999726603</v>
      </c>
      <c r="I490" t="str">
        <f t="shared" si="8"/>
        <v>flower</v>
      </c>
      <c r="J490" t="s">
        <v>982</v>
      </c>
    </row>
    <row r="491" spans="1:10" hidden="1" x14ac:dyDescent="0.2">
      <c r="A491" s="3" t="s">
        <v>415</v>
      </c>
      <c r="B491" s="6">
        <v>26.4287109375</v>
      </c>
      <c r="C491" s="6">
        <v>229.86365147987999</v>
      </c>
      <c r="D491" s="6">
        <v>35.190429091613296</v>
      </c>
      <c r="E491" s="6">
        <v>41.107152654552102</v>
      </c>
      <c r="F491" s="6">
        <v>0.98401659510052197</v>
      </c>
      <c r="G491" s="6">
        <v>90.638604755089403</v>
      </c>
      <c r="H491" s="6">
        <v>83.888050811486707</v>
      </c>
      <c r="I491" t="str">
        <f t="shared" si="8"/>
        <v>flower</v>
      </c>
      <c r="J491" t="s">
        <v>982</v>
      </c>
    </row>
    <row r="492" spans="1:10" hidden="1" x14ac:dyDescent="0.2">
      <c r="A492" s="3" t="s">
        <v>416</v>
      </c>
      <c r="B492" s="6">
        <v>24.3369140625</v>
      </c>
      <c r="C492" s="6">
        <v>249.620801733478</v>
      </c>
      <c r="D492" s="6">
        <v>34.973843162107897</v>
      </c>
      <c r="E492" s="6">
        <v>40.891373515427901</v>
      </c>
      <c r="F492" s="6">
        <v>0.98370410634795802</v>
      </c>
      <c r="G492" s="6">
        <v>90.212948336890506</v>
      </c>
      <c r="H492" s="6">
        <v>83.701435245998894</v>
      </c>
      <c r="I492" t="str">
        <f t="shared" si="8"/>
        <v>flower</v>
      </c>
      <c r="J492" t="s">
        <v>982</v>
      </c>
    </row>
    <row r="493" spans="1:10" hidden="1" x14ac:dyDescent="0.2">
      <c r="A493" s="3" t="s">
        <v>417</v>
      </c>
      <c r="B493" s="6">
        <v>22.2998046875</v>
      </c>
      <c r="C493" s="6">
        <v>272.42391066345499</v>
      </c>
      <c r="D493" s="6">
        <v>34.7447572628665</v>
      </c>
      <c r="E493" s="6">
        <v>40.662182901054699</v>
      </c>
      <c r="F493" s="6">
        <v>0.98331557019098403</v>
      </c>
      <c r="G493" s="6">
        <v>89.760639267922201</v>
      </c>
      <c r="H493" s="6">
        <v>83.470255728039106</v>
      </c>
      <c r="I493" t="str">
        <f t="shared" si="8"/>
        <v>flower</v>
      </c>
      <c r="J493" t="s">
        <v>982</v>
      </c>
    </row>
    <row r="494" spans="1:10" hidden="1" x14ac:dyDescent="0.2">
      <c r="A494" s="3" t="s">
        <v>418</v>
      </c>
      <c r="B494" s="6">
        <v>20.404296875</v>
      </c>
      <c r="C494" s="6">
        <v>297.73140614530502</v>
      </c>
      <c r="D494" s="6">
        <v>34.492898530544601</v>
      </c>
      <c r="E494" s="6">
        <v>40.4100547649467</v>
      </c>
      <c r="F494" s="6">
        <v>0.98284373222375199</v>
      </c>
      <c r="G494" s="6">
        <v>89.262795927982694</v>
      </c>
      <c r="H494" s="6">
        <v>83.190774450338694</v>
      </c>
      <c r="I494" t="str">
        <f t="shared" si="8"/>
        <v>flower</v>
      </c>
      <c r="J494" t="s">
        <v>982</v>
      </c>
    </row>
    <row r="495" spans="1:10" hidden="1" x14ac:dyDescent="0.2">
      <c r="A495" s="3" t="s">
        <v>419</v>
      </c>
      <c r="B495" s="6">
        <v>18.7001953125</v>
      </c>
      <c r="C495" s="6">
        <v>324.86291712360998</v>
      </c>
      <c r="D495" s="6">
        <v>34.219199757984804</v>
      </c>
      <c r="E495" s="6">
        <v>40.136397350746101</v>
      </c>
      <c r="F495" s="6">
        <v>0.98240572981674301</v>
      </c>
      <c r="G495" s="6">
        <v>88.722076375243503</v>
      </c>
      <c r="H495" s="6">
        <v>82.932568851925694</v>
      </c>
      <c r="I495" t="str">
        <f t="shared" si="8"/>
        <v>flower</v>
      </c>
      <c r="J495" t="s">
        <v>982</v>
      </c>
    </row>
    <row r="496" spans="1:10" hidden="1" x14ac:dyDescent="0.2">
      <c r="A496" s="3" t="s">
        <v>420</v>
      </c>
      <c r="B496" s="6">
        <v>17.2998046875</v>
      </c>
      <c r="C496" s="6">
        <v>351.16003386960199</v>
      </c>
      <c r="D496" s="6">
        <v>33.939259059960499</v>
      </c>
      <c r="E496" s="6">
        <v>39.857367491098998</v>
      </c>
      <c r="F496" s="6">
        <v>0.981784585999948</v>
      </c>
      <c r="G496" s="6">
        <v>88.170285395731398</v>
      </c>
      <c r="H496" s="6">
        <v>82.568426184962405</v>
      </c>
      <c r="I496" t="str">
        <f t="shared" si="8"/>
        <v>flower</v>
      </c>
      <c r="J496" t="s">
        <v>982</v>
      </c>
    </row>
    <row r="497" spans="1:10" hidden="1" x14ac:dyDescent="0.2">
      <c r="A497" s="3" t="s">
        <v>421</v>
      </c>
      <c r="B497" s="6">
        <v>16.00390625</v>
      </c>
      <c r="C497" s="6">
        <v>379.59482548206</v>
      </c>
      <c r="D497" s="6">
        <v>33.626190919568302</v>
      </c>
      <c r="E497" s="6">
        <v>39.546769798154301</v>
      </c>
      <c r="F497" s="6">
        <v>0.98132183417945495</v>
      </c>
      <c r="G497" s="6">
        <v>87.555430131195905</v>
      </c>
      <c r="H497" s="6">
        <v>82.298676454207893</v>
      </c>
      <c r="I497" t="str">
        <f t="shared" si="8"/>
        <v>flower</v>
      </c>
      <c r="J497" t="s">
        <v>982</v>
      </c>
    </row>
    <row r="498" spans="1:10" hidden="1" x14ac:dyDescent="0.2">
      <c r="A498" s="3" t="s">
        <v>486</v>
      </c>
      <c r="B498" s="6">
        <v>282.6826171875</v>
      </c>
      <c r="C498" s="6">
        <v>21.490532599570901</v>
      </c>
      <c r="D498" s="6">
        <v>32.384597154101797</v>
      </c>
      <c r="E498" s="6">
        <v>39.9321932436305</v>
      </c>
      <c r="F498" s="6">
        <v>0.97819212409802603</v>
      </c>
      <c r="G498" s="6">
        <v>88.318305236060993</v>
      </c>
      <c r="H498" s="6">
        <v>80.5082153085784</v>
      </c>
      <c r="I498" t="str">
        <f t="shared" si="8"/>
        <v>kitchen</v>
      </c>
      <c r="J498" t="s">
        <v>982</v>
      </c>
    </row>
    <row r="499" spans="1:10" hidden="1" x14ac:dyDescent="0.2">
      <c r="A499" s="3" t="s">
        <v>487</v>
      </c>
      <c r="B499" s="6">
        <v>239.32421875</v>
      </c>
      <c r="C499" s="6">
        <v>25.383975059983399</v>
      </c>
      <c r="D499" s="6">
        <v>31.7654234474264</v>
      </c>
      <c r="E499" s="6">
        <v>39.313379781103002</v>
      </c>
      <c r="F499" s="6">
        <v>0.97484386107338905</v>
      </c>
      <c r="G499" s="6">
        <v>87.092897722441606</v>
      </c>
      <c r="H499" s="6">
        <v>78.656568562866795</v>
      </c>
      <c r="I499" t="str">
        <f t="shared" si="8"/>
        <v>kitchen</v>
      </c>
      <c r="J499" t="s">
        <v>982</v>
      </c>
    </row>
    <row r="500" spans="1:10" hidden="1" x14ac:dyDescent="0.2">
      <c r="A500" s="3" t="s">
        <v>488</v>
      </c>
      <c r="B500" s="6">
        <v>199.9150390625</v>
      </c>
      <c r="C500" s="6">
        <v>30.387908926155198</v>
      </c>
      <c r="D500" s="6">
        <v>31.209837046706401</v>
      </c>
      <c r="E500" s="6">
        <v>38.757331983044097</v>
      </c>
      <c r="F500" s="6">
        <v>0.97138528148528003</v>
      </c>
      <c r="G500" s="6">
        <v>85.988718232906805</v>
      </c>
      <c r="H500" s="6">
        <v>76.810783316719395</v>
      </c>
      <c r="I500" t="str">
        <f t="shared" si="8"/>
        <v>kitchen</v>
      </c>
      <c r="J500" t="s">
        <v>982</v>
      </c>
    </row>
    <row r="501" spans="1:10" hidden="1" x14ac:dyDescent="0.2">
      <c r="A501" s="3" t="s">
        <v>489</v>
      </c>
      <c r="B501" s="6">
        <v>164.9560546875</v>
      </c>
      <c r="C501" s="6">
        <v>36.827990409377499</v>
      </c>
      <c r="D501" s="6">
        <v>30.707999307998801</v>
      </c>
      <c r="E501" s="6">
        <v>38.257018119029802</v>
      </c>
      <c r="F501" s="6">
        <v>0.96790083991404197</v>
      </c>
      <c r="G501" s="6">
        <v>84.991818307728295</v>
      </c>
      <c r="H501" s="6">
        <v>75.017410329045603</v>
      </c>
      <c r="I501" t="str">
        <f t="shared" si="8"/>
        <v>kitchen</v>
      </c>
      <c r="J501" t="s">
        <v>982</v>
      </c>
    </row>
    <row r="502" spans="1:10" hidden="1" x14ac:dyDescent="0.2">
      <c r="A502" s="3" t="s">
        <v>490</v>
      </c>
      <c r="B502" s="6">
        <v>135.525390625</v>
      </c>
      <c r="C502" s="6">
        <v>44.825548718096499</v>
      </c>
      <c r="D502" s="6">
        <v>30.269709386596599</v>
      </c>
      <c r="E502" s="6">
        <v>37.819579135209999</v>
      </c>
      <c r="F502" s="6">
        <v>0.96468169347933796</v>
      </c>
      <c r="G502" s="6">
        <v>84.116713613526997</v>
      </c>
      <c r="H502" s="6">
        <v>73.417510877649207</v>
      </c>
      <c r="I502" t="str">
        <f t="shared" si="8"/>
        <v>kitchen</v>
      </c>
      <c r="J502" t="s">
        <v>982</v>
      </c>
    </row>
    <row r="503" spans="1:10" hidden="1" x14ac:dyDescent="0.2">
      <c r="A503" s="3" t="s">
        <v>491</v>
      </c>
      <c r="B503" s="6">
        <v>111.158203125</v>
      </c>
      <c r="C503" s="6">
        <v>54.651837014390402</v>
      </c>
      <c r="D503" s="6">
        <v>29.8781729405036</v>
      </c>
      <c r="E503" s="6">
        <v>37.4278147696998</v>
      </c>
      <c r="F503" s="6">
        <v>0.96159601882134904</v>
      </c>
      <c r="G503" s="6">
        <v>83.329441758970304</v>
      </c>
      <c r="H503" s="6">
        <v>71.933478966633402</v>
      </c>
      <c r="I503" t="str">
        <f t="shared" si="8"/>
        <v>kitchen</v>
      </c>
      <c r="J503" t="s">
        <v>982</v>
      </c>
    </row>
    <row r="504" spans="1:10" hidden="1" x14ac:dyDescent="0.2">
      <c r="A504" s="3" t="s">
        <v>492</v>
      </c>
      <c r="B504" s="6">
        <v>91.9140625</v>
      </c>
      <c r="C504" s="6">
        <v>66.094347641309</v>
      </c>
      <c r="D504" s="6">
        <v>29.525874886057998</v>
      </c>
      <c r="E504" s="6">
        <v>37.077870292246402</v>
      </c>
      <c r="F504" s="6">
        <v>0.95887734967315297</v>
      </c>
      <c r="G504" s="6">
        <v>82.6226840589012</v>
      </c>
      <c r="H504" s="6">
        <v>70.664833935508298</v>
      </c>
      <c r="I504" t="str">
        <f t="shared" si="8"/>
        <v>kitchen</v>
      </c>
      <c r="J504" t="s">
        <v>982</v>
      </c>
    </row>
    <row r="505" spans="1:10" hidden="1" x14ac:dyDescent="0.2">
      <c r="A505" s="3" t="s">
        <v>493</v>
      </c>
      <c r="B505" s="6">
        <v>76.7978515625</v>
      </c>
      <c r="C505" s="6">
        <v>79.103775384341503</v>
      </c>
      <c r="D505" s="6">
        <v>29.201895707587401</v>
      </c>
      <c r="E505" s="6">
        <v>36.752897644286897</v>
      </c>
      <c r="F505" s="6">
        <v>0.95644580078554897</v>
      </c>
      <c r="G505" s="6">
        <v>81.962726223222305</v>
      </c>
      <c r="H505" s="6">
        <v>69.560110790198195</v>
      </c>
      <c r="I505" t="str">
        <f t="shared" si="8"/>
        <v>kitchen</v>
      </c>
      <c r="J505" t="s">
        <v>982</v>
      </c>
    </row>
    <row r="506" spans="1:10" hidden="1" x14ac:dyDescent="0.2">
      <c r="A506" s="3" t="s">
        <v>494</v>
      </c>
      <c r="B506" s="6">
        <v>65.8134765625</v>
      </c>
      <c r="C506" s="6">
        <v>92.3063226151084</v>
      </c>
      <c r="D506" s="6">
        <v>28.886204643705501</v>
      </c>
      <c r="E506" s="6">
        <v>36.437495175981702</v>
      </c>
      <c r="F506" s="6">
        <v>0.95420451407904905</v>
      </c>
      <c r="G506" s="6">
        <v>81.318180317830596</v>
      </c>
      <c r="H506" s="6">
        <v>68.566199847254893</v>
      </c>
      <c r="I506" t="str">
        <f t="shared" si="8"/>
        <v>kitchen</v>
      </c>
      <c r="J506" t="s">
        <v>982</v>
      </c>
    </row>
    <row r="507" spans="1:10" hidden="1" x14ac:dyDescent="0.2">
      <c r="A507" s="3" t="s">
        <v>495</v>
      </c>
      <c r="B507" s="6">
        <v>57.3134765625</v>
      </c>
      <c r="C507" s="6">
        <v>105.99601288146</v>
      </c>
      <c r="D507" s="6">
        <v>28.567492110584801</v>
      </c>
      <c r="E507" s="6">
        <v>36.120073262098899</v>
      </c>
      <c r="F507" s="6">
        <v>0.95194067312036301</v>
      </c>
      <c r="G507" s="6">
        <v>80.6647281653769</v>
      </c>
      <c r="H507" s="6">
        <v>67.585423476332195</v>
      </c>
      <c r="I507" t="str">
        <f t="shared" si="8"/>
        <v>kitchen</v>
      </c>
      <c r="J507" t="s">
        <v>982</v>
      </c>
    </row>
    <row r="508" spans="1:10" hidden="1" x14ac:dyDescent="0.2">
      <c r="A508" s="3" t="s">
        <v>496</v>
      </c>
      <c r="B508" s="6">
        <v>50.8330078125</v>
      </c>
      <c r="C508" s="6">
        <v>119.50896201947999</v>
      </c>
      <c r="D508" s="6">
        <v>28.2515307641028</v>
      </c>
      <c r="E508" s="6">
        <v>35.804512845453999</v>
      </c>
      <c r="F508" s="6">
        <v>0.95006510621172202</v>
      </c>
      <c r="G508" s="6">
        <v>80.009445573374805</v>
      </c>
      <c r="H508" s="6">
        <v>66.790065334995205</v>
      </c>
      <c r="I508" t="str">
        <f t="shared" si="8"/>
        <v>kitchen</v>
      </c>
      <c r="J508" t="s">
        <v>982</v>
      </c>
    </row>
    <row r="509" spans="1:10" hidden="1" x14ac:dyDescent="0.2">
      <c r="A509" s="3" t="s">
        <v>497</v>
      </c>
      <c r="B509" s="6">
        <v>45.5087890625</v>
      </c>
      <c r="C509" s="6">
        <v>133.49069762451401</v>
      </c>
      <c r="D509" s="6">
        <v>27.903971619663199</v>
      </c>
      <c r="E509" s="6">
        <v>35.4569585973979</v>
      </c>
      <c r="F509" s="6">
        <v>0.94773670269952204</v>
      </c>
      <c r="G509" s="6">
        <v>79.279900643221197</v>
      </c>
      <c r="H509" s="6">
        <v>65.823856967845799</v>
      </c>
      <c r="I509" t="str">
        <f t="shared" si="8"/>
        <v>kitchen</v>
      </c>
      <c r="J509" t="s">
        <v>982</v>
      </c>
    </row>
    <row r="510" spans="1:10" hidden="1" x14ac:dyDescent="0.2">
      <c r="A510" s="3" t="s">
        <v>498</v>
      </c>
      <c r="B510" s="6">
        <v>41.26953125</v>
      </c>
      <c r="C510" s="6">
        <v>147.20302886890701</v>
      </c>
      <c r="D510" s="6">
        <v>27.560991108440199</v>
      </c>
      <c r="E510" s="6">
        <v>35.1140418664802</v>
      </c>
      <c r="F510" s="6">
        <v>0.94531917437539104</v>
      </c>
      <c r="G510" s="6">
        <v>78.5504296968207</v>
      </c>
      <c r="H510" s="6">
        <v>64.844893314180595</v>
      </c>
      <c r="I510" t="str">
        <f t="shared" si="8"/>
        <v>kitchen</v>
      </c>
      <c r="J510" t="s">
        <v>982</v>
      </c>
    </row>
    <row r="511" spans="1:10" hidden="1" x14ac:dyDescent="0.2">
      <c r="A511" s="3" t="s">
        <v>499</v>
      </c>
      <c r="B511" s="6">
        <v>37.4560546875</v>
      </c>
      <c r="C511" s="6">
        <v>162.19006648416101</v>
      </c>
      <c r="D511" s="6">
        <v>27.195673286896302</v>
      </c>
      <c r="E511" s="6">
        <v>34.7472650491924</v>
      </c>
      <c r="F511" s="6">
        <v>0.94279257274454598</v>
      </c>
      <c r="G511" s="6">
        <v>77.757342618803904</v>
      </c>
      <c r="H511" s="6">
        <v>63.8474413665433</v>
      </c>
      <c r="I511" t="str">
        <f t="shared" si="8"/>
        <v>kitchen</v>
      </c>
      <c r="J511" t="s">
        <v>982</v>
      </c>
    </row>
    <row r="512" spans="1:10" hidden="1" x14ac:dyDescent="0.2">
      <c r="A512" s="3" t="s">
        <v>500</v>
      </c>
      <c r="B512" s="6">
        <v>33.76171875</v>
      </c>
      <c r="C512" s="6">
        <v>179.93752169385601</v>
      </c>
      <c r="D512" s="6">
        <v>26.776149823828501</v>
      </c>
      <c r="E512" s="6">
        <v>34.3310610682218</v>
      </c>
      <c r="F512" s="6">
        <v>0.93931749026688505</v>
      </c>
      <c r="G512" s="6">
        <v>76.837678167437403</v>
      </c>
      <c r="H512" s="6">
        <v>62.517110116394001</v>
      </c>
      <c r="I512" t="str">
        <f t="shared" si="8"/>
        <v>kitchen</v>
      </c>
      <c r="J512" t="s">
        <v>982</v>
      </c>
    </row>
    <row r="513" spans="1:10" hidden="1" x14ac:dyDescent="0.2">
      <c r="A513" s="3" t="s">
        <v>501</v>
      </c>
      <c r="B513" s="6">
        <v>31.0888671875</v>
      </c>
      <c r="C513" s="6">
        <v>195.40757028427799</v>
      </c>
      <c r="D513" s="6">
        <v>26.381357861022199</v>
      </c>
      <c r="E513" s="6">
        <v>33.934362374010597</v>
      </c>
      <c r="F513" s="6">
        <v>0.93627690019215704</v>
      </c>
      <c r="G513" s="6">
        <v>75.937114872889296</v>
      </c>
      <c r="H513" s="6">
        <v>61.391290147518198</v>
      </c>
      <c r="I513" t="str">
        <f t="shared" si="8"/>
        <v>kitchen</v>
      </c>
      <c r="J513" t="s">
        <v>982</v>
      </c>
    </row>
    <row r="514" spans="1:10" hidden="1" x14ac:dyDescent="0.2">
      <c r="A514" s="3" t="s">
        <v>502</v>
      </c>
      <c r="B514" s="6">
        <v>234.890625</v>
      </c>
      <c r="C514" s="6">
        <v>25.8631011774097</v>
      </c>
      <c r="D514" s="6">
        <v>34.541158780256801</v>
      </c>
      <c r="E514" s="6">
        <v>42.585878513972403</v>
      </c>
      <c r="F514" s="6">
        <v>0.98827607391706895</v>
      </c>
      <c r="G514" s="6">
        <v>93.552188149641793</v>
      </c>
      <c r="H514" s="6">
        <v>86.493698449142997</v>
      </c>
      <c r="I514" t="str">
        <f t="shared" si="8"/>
        <v>lemon</v>
      </c>
      <c r="J514" t="s">
        <v>982</v>
      </c>
    </row>
    <row r="515" spans="1:10" hidden="1" x14ac:dyDescent="0.2">
      <c r="A515" s="3" t="s">
        <v>503</v>
      </c>
      <c r="B515" s="6">
        <v>203.283203125</v>
      </c>
      <c r="C515" s="6">
        <v>29.8844169444952</v>
      </c>
      <c r="D515" s="6">
        <v>33.962236132481102</v>
      </c>
      <c r="E515" s="6">
        <v>42.007695679158402</v>
      </c>
      <c r="F515" s="6">
        <v>0.98707528644629094</v>
      </c>
      <c r="G515" s="6">
        <v>92.413546677777603</v>
      </c>
      <c r="H515" s="6">
        <v>85.747322312312207</v>
      </c>
      <c r="I515" t="str">
        <f t="shared" si="8"/>
        <v>lemon</v>
      </c>
      <c r="J515" t="s">
        <v>982</v>
      </c>
    </row>
    <row r="516" spans="1:10" hidden="1" x14ac:dyDescent="0.2">
      <c r="A516" s="3" t="s">
        <v>504</v>
      </c>
      <c r="B516" s="6">
        <v>176.8564453125</v>
      </c>
      <c r="C516" s="6">
        <v>34.349893153544201</v>
      </c>
      <c r="D516" s="6">
        <v>33.395230654901901</v>
      </c>
      <c r="E516" s="6">
        <v>41.4413873555131</v>
      </c>
      <c r="F516" s="6">
        <v>0.98576073901165695</v>
      </c>
      <c r="G516" s="6">
        <v>91.297626536617699</v>
      </c>
      <c r="H516" s="6">
        <v>84.940942447542994</v>
      </c>
      <c r="I516" t="str">
        <f t="shared" si="8"/>
        <v>lemon</v>
      </c>
      <c r="J516" t="s">
        <v>982</v>
      </c>
    </row>
    <row r="517" spans="1:10" hidden="1" x14ac:dyDescent="0.2">
      <c r="A517" s="3" t="s">
        <v>505</v>
      </c>
      <c r="B517" s="6">
        <v>152.189453125</v>
      </c>
      <c r="C517" s="6">
        <v>39.917352190038599</v>
      </c>
      <c r="D517" s="6">
        <v>32.833020319095503</v>
      </c>
      <c r="E517" s="6">
        <v>40.879062126109602</v>
      </c>
      <c r="F517" s="6">
        <v>0.98436088422946499</v>
      </c>
      <c r="G517" s="6">
        <v>90.188657103150902</v>
      </c>
      <c r="H517" s="6">
        <v>84.094366323543198</v>
      </c>
      <c r="I517" t="str">
        <f t="shared" si="8"/>
        <v>lemon</v>
      </c>
      <c r="J517" t="s">
        <v>982</v>
      </c>
    </row>
    <row r="518" spans="1:10" hidden="1" x14ac:dyDescent="0.2">
      <c r="A518" s="3" t="s">
        <v>506</v>
      </c>
      <c r="B518" s="6">
        <v>130.5693359375</v>
      </c>
      <c r="C518" s="6">
        <v>46.527003881737897</v>
      </c>
      <c r="D518" s="6">
        <v>32.303939653354497</v>
      </c>
      <c r="E518" s="6">
        <v>40.351113613928</v>
      </c>
      <c r="F518" s="6">
        <v>0.98291752234651797</v>
      </c>
      <c r="G518" s="6">
        <v>89.146368168120304</v>
      </c>
      <c r="H518" s="6">
        <v>83.234391042020704</v>
      </c>
      <c r="I518" t="str">
        <f t="shared" si="8"/>
        <v>lemon</v>
      </c>
      <c r="J518" t="s">
        <v>982</v>
      </c>
    </row>
    <row r="519" spans="1:10" hidden="1" x14ac:dyDescent="0.2">
      <c r="A519" s="3" t="s">
        <v>507</v>
      </c>
      <c r="B519" s="6">
        <v>111.576171875</v>
      </c>
      <c r="C519" s="6">
        <v>54.447109072767702</v>
      </c>
      <c r="D519" s="6">
        <v>31.775412780358199</v>
      </c>
      <c r="E519" s="6">
        <v>39.8222279321269</v>
      </c>
      <c r="F519" s="6">
        <v>0.98138764215339402</v>
      </c>
      <c r="G519" s="6">
        <v>88.100759289798006</v>
      </c>
      <c r="H519" s="6">
        <v>82.3369578615645</v>
      </c>
      <c r="I519" t="str">
        <f t="shared" si="8"/>
        <v>lemon</v>
      </c>
      <c r="J519" t="s">
        <v>982</v>
      </c>
    </row>
    <row r="520" spans="1:10" hidden="1" x14ac:dyDescent="0.2">
      <c r="A520" s="3" t="s">
        <v>508</v>
      </c>
      <c r="B520" s="6">
        <v>96.4619140625</v>
      </c>
      <c r="C520" s="6">
        <v>62.978223675552002</v>
      </c>
      <c r="D520" s="6">
        <v>31.2793219948</v>
      </c>
      <c r="E520" s="6">
        <v>39.326712860700297</v>
      </c>
      <c r="F520" s="6">
        <v>0.97969616284847105</v>
      </c>
      <c r="G520" s="6">
        <v>87.119334398901799</v>
      </c>
      <c r="H520" s="6">
        <v>81.361330948664104</v>
      </c>
      <c r="I520" t="str">
        <f t="shared" si="8"/>
        <v>lemon</v>
      </c>
      <c r="J520" t="s">
        <v>982</v>
      </c>
    </row>
    <row r="521" spans="1:10" hidden="1" x14ac:dyDescent="0.2">
      <c r="A521" s="3" t="s">
        <v>509</v>
      </c>
      <c r="B521" s="6">
        <v>83.18359375</v>
      </c>
      <c r="C521" s="6">
        <v>73.031227987790601</v>
      </c>
      <c r="D521" s="6">
        <v>30.777124639788301</v>
      </c>
      <c r="E521" s="6">
        <v>38.825059048265501</v>
      </c>
      <c r="F521" s="6">
        <v>0.97801793293120898</v>
      </c>
      <c r="G521" s="6">
        <v>86.123398074386301</v>
      </c>
      <c r="H521" s="6">
        <v>80.410276409700401</v>
      </c>
      <c r="I521" t="str">
        <f t="shared" si="8"/>
        <v>lemon</v>
      </c>
      <c r="J521" t="s">
        <v>982</v>
      </c>
    </row>
    <row r="522" spans="1:10" hidden="1" x14ac:dyDescent="0.2">
      <c r="A522" s="3" t="s">
        <v>510</v>
      </c>
      <c r="B522" s="6">
        <v>72.43359375</v>
      </c>
      <c r="C522" s="6">
        <v>83.869923960524204</v>
      </c>
      <c r="D522" s="6">
        <v>30.280561704627299</v>
      </c>
      <c r="E522" s="6">
        <v>38.329094404834798</v>
      </c>
      <c r="F522" s="6">
        <v>0.97621168590264196</v>
      </c>
      <c r="G522" s="6">
        <v>85.135671229255806</v>
      </c>
      <c r="H522" s="6">
        <v>79.405170738238695</v>
      </c>
      <c r="I522" t="str">
        <f t="shared" si="8"/>
        <v>lemon</v>
      </c>
      <c r="J522" t="s">
        <v>982</v>
      </c>
    </row>
    <row r="523" spans="1:10" hidden="1" x14ac:dyDescent="0.2">
      <c r="A523" s="3" t="s">
        <v>511</v>
      </c>
      <c r="B523" s="6">
        <v>63.2041015625</v>
      </c>
      <c r="C523" s="6">
        <v>96.1171798952427</v>
      </c>
      <c r="D523" s="6">
        <v>29.786587719411902</v>
      </c>
      <c r="E523" s="6">
        <v>37.835549766478003</v>
      </c>
      <c r="F523" s="6">
        <v>0.97404696033310001</v>
      </c>
      <c r="G523" s="6">
        <v>84.148730901175696</v>
      </c>
      <c r="H523" s="6">
        <v>78.225341104965096</v>
      </c>
      <c r="I523" t="str">
        <f t="shared" si="8"/>
        <v>lemon</v>
      </c>
      <c r="J523" t="s">
        <v>982</v>
      </c>
    </row>
    <row r="524" spans="1:10" hidden="1" x14ac:dyDescent="0.2">
      <c r="A524" s="3" t="s">
        <v>512</v>
      </c>
      <c r="B524" s="6">
        <v>55.7431640625</v>
      </c>
      <c r="C524" s="6">
        <v>108.981972985757</v>
      </c>
      <c r="D524" s="6">
        <v>29.3031868252816</v>
      </c>
      <c r="E524" s="6">
        <v>37.353438401818401</v>
      </c>
      <c r="F524" s="6">
        <v>0.97195168079640704</v>
      </c>
      <c r="G524" s="6">
        <v>83.179532079492702</v>
      </c>
      <c r="H524" s="6">
        <v>77.108511834760293</v>
      </c>
      <c r="I524" t="str">
        <f t="shared" si="8"/>
        <v>lemon</v>
      </c>
      <c r="J524" t="s">
        <v>982</v>
      </c>
    </row>
    <row r="525" spans="1:10" hidden="1" x14ac:dyDescent="0.2">
      <c r="A525" s="3" t="s">
        <v>513</v>
      </c>
      <c r="B525" s="6">
        <v>49.0732421875</v>
      </c>
      <c r="C525" s="6">
        <v>123.794551352212</v>
      </c>
      <c r="D525" s="6">
        <v>28.8128150878375</v>
      </c>
      <c r="E525" s="6">
        <v>36.862421278537703</v>
      </c>
      <c r="F525" s="6">
        <v>0.96958159729842097</v>
      </c>
      <c r="G525" s="6">
        <v>82.185581425642098</v>
      </c>
      <c r="H525" s="6">
        <v>75.874322504840606</v>
      </c>
      <c r="I525" t="str">
        <f t="shared" si="8"/>
        <v>lemon</v>
      </c>
      <c r="J525" t="s">
        <v>982</v>
      </c>
    </row>
    <row r="526" spans="1:10" hidden="1" x14ac:dyDescent="0.2">
      <c r="A526" s="3" t="s">
        <v>514</v>
      </c>
      <c r="B526" s="6">
        <v>43.1162109375</v>
      </c>
      <c r="C526" s="6">
        <v>140.89828089964001</v>
      </c>
      <c r="D526" s="6">
        <v>28.312654374735899</v>
      </c>
      <c r="E526" s="6">
        <v>36.365083312174598</v>
      </c>
      <c r="F526" s="6">
        <v>0.96706485498544603</v>
      </c>
      <c r="G526" s="6">
        <v>81.169564278726497</v>
      </c>
      <c r="H526" s="6">
        <v>74.596756145304397</v>
      </c>
      <c r="I526" t="str">
        <f t="shared" si="8"/>
        <v>lemon</v>
      </c>
      <c r="J526" t="s">
        <v>982</v>
      </c>
    </row>
    <row r="527" spans="1:10" hidden="1" x14ac:dyDescent="0.2">
      <c r="A527" s="3" t="s">
        <v>515</v>
      </c>
      <c r="B527" s="6">
        <v>38.28125</v>
      </c>
      <c r="C527" s="6">
        <v>158.69387755101999</v>
      </c>
      <c r="D527" s="6">
        <v>27.826476671934898</v>
      </c>
      <c r="E527" s="6">
        <v>35.876985666464002</v>
      </c>
      <c r="F527" s="6">
        <v>0.96441690776626299</v>
      </c>
      <c r="G527" s="6">
        <v>80.160492987564595</v>
      </c>
      <c r="H527" s="6">
        <v>73.2882865188772</v>
      </c>
      <c r="I527" t="str">
        <f t="shared" si="8"/>
        <v>lemon</v>
      </c>
      <c r="J527" t="s">
        <v>982</v>
      </c>
    </row>
    <row r="528" spans="1:10" hidden="1" x14ac:dyDescent="0.2">
      <c r="A528" s="3" t="s">
        <v>516</v>
      </c>
      <c r="B528" s="6">
        <v>33.7607421875</v>
      </c>
      <c r="C528" s="6">
        <v>179.94272656272599</v>
      </c>
      <c r="D528" s="6">
        <v>27.319932533988499</v>
      </c>
      <c r="E528" s="6">
        <v>35.373541580662902</v>
      </c>
      <c r="F528" s="6">
        <v>0.96166615513399301</v>
      </c>
      <c r="G528" s="6">
        <v>79.103404529115195</v>
      </c>
      <c r="H528" s="6">
        <v>71.966684117641506</v>
      </c>
      <c r="I528" t="str">
        <f t="shared" si="8"/>
        <v>lemon</v>
      </c>
      <c r="J528" t="s">
        <v>982</v>
      </c>
    </row>
    <row r="529" spans="1:10" hidden="1" x14ac:dyDescent="0.2">
      <c r="A529" s="3" t="s">
        <v>517</v>
      </c>
      <c r="B529" s="6">
        <v>29.98046875</v>
      </c>
      <c r="C529" s="6">
        <v>202.63192182410401</v>
      </c>
      <c r="D529" s="6">
        <v>26.8374098198985</v>
      </c>
      <c r="E529" s="6">
        <v>34.888676053350203</v>
      </c>
      <c r="F529" s="6">
        <v>0.95849446504467795</v>
      </c>
      <c r="G529" s="6">
        <v>78.064857542374398</v>
      </c>
      <c r="H529" s="6">
        <v>70.489024260430398</v>
      </c>
      <c r="I529" t="str">
        <f t="shared" si="8"/>
        <v>lemon</v>
      </c>
      <c r="J529" t="s">
        <v>982</v>
      </c>
    </row>
    <row r="530" spans="1:10" hidden="1" x14ac:dyDescent="0.2">
      <c r="A530" s="3" t="s">
        <v>518</v>
      </c>
      <c r="B530" s="6">
        <v>336.203125</v>
      </c>
      <c r="C530" s="6">
        <v>18.0694334712088</v>
      </c>
      <c r="D530" s="6">
        <v>33.082746603110998</v>
      </c>
      <c r="E530" s="6">
        <v>41.875671025247698</v>
      </c>
      <c r="F530" s="6">
        <v>0.994983322940308</v>
      </c>
      <c r="G530" s="6">
        <v>92.153456608339397</v>
      </c>
      <c r="H530" s="6">
        <v>90.840204188345098</v>
      </c>
      <c r="I530" t="str">
        <f t="shared" si="8"/>
        <v>pcgame</v>
      </c>
      <c r="J530" t="s">
        <v>982</v>
      </c>
    </row>
    <row r="531" spans="1:10" hidden="1" x14ac:dyDescent="0.2">
      <c r="A531" s="3" t="s">
        <v>519</v>
      </c>
      <c r="B531" s="6">
        <v>314.408203125</v>
      </c>
      <c r="C531" s="6">
        <v>19.322014946234599</v>
      </c>
      <c r="D531" s="6">
        <v>32.198600456261502</v>
      </c>
      <c r="E531" s="6">
        <v>40.992393129148802</v>
      </c>
      <c r="F531" s="6">
        <v>0.99401531567578005</v>
      </c>
      <c r="G531" s="6">
        <v>90.412245500480907</v>
      </c>
      <c r="H531" s="6">
        <v>90.193857548536897</v>
      </c>
      <c r="I531" t="str">
        <f t="shared" ref="I531:I594" si="9">MID(A531,1,(FIND("yuv",A531))-1)</f>
        <v>pcgame</v>
      </c>
      <c r="J531" t="s">
        <v>982</v>
      </c>
    </row>
    <row r="532" spans="1:10" hidden="1" x14ac:dyDescent="0.2">
      <c r="A532" s="3" t="s">
        <v>520</v>
      </c>
      <c r="B532" s="6">
        <v>292.123046875</v>
      </c>
      <c r="C532" s="6">
        <v>20.796031210093101</v>
      </c>
      <c r="D532" s="6">
        <v>31.2448604649516</v>
      </c>
      <c r="E532" s="6">
        <v>40.040126267919902</v>
      </c>
      <c r="F532" s="6">
        <v>0.992854405247526</v>
      </c>
      <c r="G532" s="6">
        <v>88.531752770481106</v>
      </c>
      <c r="H532" s="6">
        <v>89.427318214807698</v>
      </c>
      <c r="I532" t="str">
        <f t="shared" si="9"/>
        <v>pcgame</v>
      </c>
      <c r="J532" t="s">
        <v>982</v>
      </c>
    </row>
    <row r="533" spans="1:10" hidden="1" x14ac:dyDescent="0.2">
      <c r="A533" s="3" t="s">
        <v>521</v>
      </c>
      <c r="B533" s="6">
        <v>270.03515625</v>
      </c>
      <c r="C533" s="6">
        <v>22.497070693920101</v>
      </c>
      <c r="D533" s="6">
        <v>30.346686196941398</v>
      </c>
      <c r="E533" s="6">
        <v>39.1431885497095</v>
      </c>
      <c r="F533" s="6">
        <v>0.991522362789792</v>
      </c>
      <c r="G533" s="6">
        <v>86.755293167110494</v>
      </c>
      <c r="H533" s="6">
        <v>88.559210968926195</v>
      </c>
      <c r="I533" t="str">
        <f t="shared" si="9"/>
        <v>pcgame</v>
      </c>
      <c r="J533" t="s">
        <v>982</v>
      </c>
    </row>
    <row r="534" spans="1:10" hidden="1" x14ac:dyDescent="0.2">
      <c r="A534" s="3" t="s">
        <v>522</v>
      </c>
      <c r="B534" s="6">
        <v>247.775390625</v>
      </c>
      <c r="C534" s="6">
        <v>24.518173433915901</v>
      </c>
      <c r="D534" s="6">
        <v>29.48020892413</v>
      </c>
      <c r="E534" s="6">
        <v>38.279276671294603</v>
      </c>
      <c r="F534" s="6">
        <v>0.98988386606729195</v>
      </c>
      <c r="G534" s="6">
        <v>85.036252188623095</v>
      </c>
      <c r="H534" s="6">
        <v>87.507893842648897</v>
      </c>
      <c r="I534" t="str">
        <f t="shared" si="9"/>
        <v>pcgame</v>
      </c>
      <c r="J534" t="s">
        <v>982</v>
      </c>
    </row>
    <row r="535" spans="1:10" hidden="1" x14ac:dyDescent="0.2">
      <c r="A535" s="3" t="s">
        <v>523</v>
      </c>
      <c r="B535" s="6">
        <v>226.1796875</v>
      </c>
      <c r="C535" s="6">
        <v>26.8591758488481</v>
      </c>
      <c r="D535" s="6">
        <v>28.6574959341024</v>
      </c>
      <c r="E535" s="6">
        <v>37.458105316984899</v>
      </c>
      <c r="F535" s="6">
        <v>0.98809108376235599</v>
      </c>
      <c r="G535" s="6">
        <v>83.390450425751993</v>
      </c>
      <c r="H535" s="6">
        <v>86.378100219322505</v>
      </c>
      <c r="I535" t="str">
        <f t="shared" si="9"/>
        <v>pcgame</v>
      </c>
      <c r="J535" t="s">
        <v>982</v>
      </c>
    </row>
    <row r="536" spans="1:10" hidden="1" x14ac:dyDescent="0.2">
      <c r="A536" s="3" t="s">
        <v>524</v>
      </c>
      <c r="B536" s="6">
        <v>205.8505859375</v>
      </c>
      <c r="C536" s="6">
        <v>29.511696419676401</v>
      </c>
      <c r="D536" s="6">
        <v>27.860161686626601</v>
      </c>
      <c r="E536" s="6">
        <v>36.663548055864403</v>
      </c>
      <c r="F536" s="6">
        <v>0.98604645950888603</v>
      </c>
      <c r="G536" s="6">
        <v>81.780568095954493</v>
      </c>
      <c r="H536" s="6">
        <v>85.115267023044893</v>
      </c>
      <c r="I536" t="str">
        <f t="shared" si="9"/>
        <v>pcgame</v>
      </c>
      <c r="J536" t="s">
        <v>982</v>
      </c>
    </row>
    <row r="537" spans="1:10" hidden="1" x14ac:dyDescent="0.2">
      <c r="A537" s="3" t="s">
        <v>525</v>
      </c>
      <c r="B537" s="6">
        <v>186.6904296875</v>
      </c>
      <c r="C537" s="6">
        <v>32.540500389703503</v>
      </c>
      <c r="D537" s="6">
        <v>27.053339164075901</v>
      </c>
      <c r="E537" s="6">
        <v>35.858537651499098</v>
      </c>
      <c r="F537" s="6">
        <v>0.983756970582784</v>
      </c>
      <c r="G537" s="6">
        <v>80.122076530315695</v>
      </c>
      <c r="H537" s="6">
        <v>83.732962363399807</v>
      </c>
      <c r="I537" t="str">
        <f t="shared" si="9"/>
        <v>pcgame</v>
      </c>
      <c r="J537" t="s">
        <v>982</v>
      </c>
    </row>
    <row r="538" spans="1:10" hidden="1" x14ac:dyDescent="0.2">
      <c r="A538" s="3" t="s">
        <v>526</v>
      </c>
      <c r="B538" s="6">
        <v>168.3740234375</v>
      </c>
      <c r="C538" s="6">
        <v>36.080387437287897</v>
      </c>
      <c r="D538" s="6">
        <v>26.250659522308901</v>
      </c>
      <c r="E538" s="6">
        <v>35.057967861340302</v>
      </c>
      <c r="F538" s="6">
        <v>0.98106961469410303</v>
      </c>
      <c r="G538" s="6">
        <v>78.430102841840593</v>
      </c>
      <c r="H538" s="6">
        <v>82.152201078430394</v>
      </c>
      <c r="I538" t="str">
        <f t="shared" si="9"/>
        <v>pcgame</v>
      </c>
      <c r="J538" t="s">
        <v>982</v>
      </c>
    </row>
    <row r="539" spans="1:10" hidden="1" x14ac:dyDescent="0.2">
      <c r="A539" s="3" t="s">
        <v>527</v>
      </c>
      <c r="B539" s="6">
        <v>150.8056640625</v>
      </c>
      <c r="C539" s="6">
        <v>40.2836328314716</v>
      </c>
      <c r="D539" s="6">
        <v>25.448818829625299</v>
      </c>
      <c r="E539" s="6">
        <v>34.2600916018825</v>
      </c>
      <c r="F539" s="6">
        <v>0.97810154001055205</v>
      </c>
      <c r="G539" s="6">
        <v>76.678434953363805</v>
      </c>
      <c r="H539" s="6">
        <v>80.457262162293105</v>
      </c>
      <c r="I539" t="str">
        <f t="shared" si="9"/>
        <v>pcgame</v>
      </c>
      <c r="J539" t="s">
        <v>982</v>
      </c>
    </row>
    <row r="540" spans="1:10" hidden="1" x14ac:dyDescent="0.2">
      <c r="A540" s="3" t="s">
        <v>528</v>
      </c>
      <c r="B540" s="6">
        <v>134.9755859375</v>
      </c>
      <c r="C540" s="6">
        <v>45.008139492819197</v>
      </c>
      <c r="D540" s="6">
        <v>24.664558060536201</v>
      </c>
      <c r="E540" s="6">
        <v>33.4779452246609</v>
      </c>
      <c r="F540" s="6">
        <v>0.97469344045575002</v>
      </c>
      <c r="G540" s="6">
        <v>74.864904896994702</v>
      </c>
      <c r="H540" s="6">
        <v>78.574895995752101</v>
      </c>
      <c r="I540" t="str">
        <f t="shared" si="9"/>
        <v>pcgame</v>
      </c>
      <c r="J540" t="s">
        <v>982</v>
      </c>
    </row>
    <row r="541" spans="1:10" hidden="1" x14ac:dyDescent="0.2">
      <c r="A541" s="3" t="s">
        <v>529</v>
      </c>
      <c r="B541" s="6">
        <v>120.04296875</v>
      </c>
      <c r="C541" s="6">
        <v>50.606879047216196</v>
      </c>
      <c r="D541" s="6">
        <v>23.917152020322899</v>
      </c>
      <c r="E541" s="6">
        <v>32.735808874989701</v>
      </c>
      <c r="F541" s="6">
        <v>0.97113121002458602</v>
      </c>
      <c r="G541" s="6">
        <v>73.013599145837802</v>
      </c>
      <c r="H541" s="6">
        <v>76.677801512031905</v>
      </c>
      <c r="I541" t="str">
        <f t="shared" si="9"/>
        <v>pcgame</v>
      </c>
      <c r="J541" t="s">
        <v>982</v>
      </c>
    </row>
    <row r="542" spans="1:10" hidden="1" x14ac:dyDescent="0.2">
      <c r="A542" s="3" t="s">
        <v>530</v>
      </c>
      <c r="B542" s="6">
        <v>106.6640625</v>
      </c>
      <c r="C542" s="6">
        <v>56.954515491100899</v>
      </c>
      <c r="D542" s="6">
        <v>23.152742917024302</v>
      </c>
      <c r="E542" s="6">
        <v>31.975739548962299</v>
      </c>
      <c r="F542" s="6">
        <v>0.96692044177275904</v>
      </c>
      <c r="G542" s="6">
        <v>70.9285990237492</v>
      </c>
      <c r="H542" s="6">
        <v>74.524460412354102</v>
      </c>
      <c r="I542" t="str">
        <f t="shared" si="9"/>
        <v>pcgame</v>
      </c>
      <c r="J542" t="s">
        <v>982</v>
      </c>
    </row>
    <row r="543" spans="1:10" hidden="1" x14ac:dyDescent="0.2">
      <c r="A543" s="3" t="s">
        <v>531</v>
      </c>
      <c r="B543" s="6">
        <v>95.267578125</v>
      </c>
      <c r="C543" s="6">
        <v>63.767759394796698</v>
      </c>
      <c r="D543" s="6">
        <v>22.4294018155279</v>
      </c>
      <c r="E543" s="6">
        <v>31.257332117153901</v>
      </c>
      <c r="F543" s="6">
        <v>0.96259182576179503</v>
      </c>
      <c r="G543" s="6">
        <v>68.717219294986194</v>
      </c>
      <c r="H543" s="6">
        <v>72.407207871629694</v>
      </c>
      <c r="I543" t="str">
        <f t="shared" si="9"/>
        <v>pcgame</v>
      </c>
      <c r="J543" t="s">
        <v>982</v>
      </c>
    </row>
    <row r="544" spans="1:10" hidden="1" x14ac:dyDescent="0.2">
      <c r="A544" s="3" t="s">
        <v>532</v>
      </c>
      <c r="B544" s="6">
        <v>84.361328125</v>
      </c>
      <c r="C544" s="6">
        <v>72.011668557405102</v>
      </c>
      <c r="D544" s="6">
        <v>21.7355812876723</v>
      </c>
      <c r="E544" s="6">
        <v>30.570170147172998</v>
      </c>
      <c r="F544" s="6">
        <v>0.95760813379215204</v>
      </c>
      <c r="G544" s="6">
        <v>66.319530813932801</v>
      </c>
      <c r="H544" s="6">
        <v>70.084716615796907</v>
      </c>
      <c r="I544" t="str">
        <f t="shared" si="9"/>
        <v>pcgame</v>
      </c>
      <c r="J544" t="s">
        <v>982</v>
      </c>
    </row>
    <row r="545" spans="1:10" hidden="1" x14ac:dyDescent="0.2">
      <c r="A545" s="3" t="s">
        <v>533</v>
      </c>
      <c r="B545" s="6">
        <v>74.62109375</v>
      </c>
      <c r="C545" s="6">
        <v>81.4112966549757</v>
      </c>
      <c r="D545" s="6">
        <v>21.0461064770032</v>
      </c>
      <c r="E545" s="6">
        <v>29.8812176780919</v>
      </c>
      <c r="F545" s="6">
        <v>0.95253841450273002</v>
      </c>
      <c r="G545" s="6">
        <v>63.584778544857997</v>
      </c>
      <c r="H545" s="6">
        <v>67.842159336352793</v>
      </c>
      <c r="I545" t="str">
        <f t="shared" si="9"/>
        <v>pcgame</v>
      </c>
      <c r="J545" t="s">
        <v>982</v>
      </c>
    </row>
    <row r="546" spans="1:10" hidden="1" x14ac:dyDescent="0.2">
      <c r="A546" s="3" t="s">
        <v>534</v>
      </c>
      <c r="B546" s="6">
        <v>286.52734375</v>
      </c>
      <c r="C546" s="6">
        <v>21.202164932993401</v>
      </c>
      <c r="D546" s="6">
        <v>40.866091449224299</v>
      </c>
      <c r="E546" s="6">
        <v>42.980367260538898</v>
      </c>
      <c r="F546" s="6">
        <v>0.99317054175766994</v>
      </c>
      <c r="G546" s="6">
        <v>94.328779840637395</v>
      </c>
      <c r="H546" s="6">
        <v>89.635135971714803</v>
      </c>
      <c r="I546" t="str">
        <f t="shared" si="9"/>
        <v>pc_desktop</v>
      </c>
      <c r="J546" t="s">
        <v>982</v>
      </c>
    </row>
    <row r="547" spans="1:10" hidden="1" x14ac:dyDescent="0.2">
      <c r="A547" s="3" t="s">
        <v>535</v>
      </c>
      <c r="B547" s="6">
        <v>268.2080078125</v>
      </c>
      <c r="C547" s="6">
        <v>22.6503304265506</v>
      </c>
      <c r="D547" s="6">
        <v>40.0785196694601</v>
      </c>
      <c r="E547" s="6">
        <v>42.193288780250803</v>
      </c>
      <c r="F547" s="6">
        <v>0.99220174194563404</v>
      </c>
      <c r="G547" s="6">
        <v>92.779107796344704</v>
      </c>
      <c r="H547" s="6">
        <v>89.000453735500301</v>
      </c>
      <c r="I547" t="str">
        <f t="shared" si="9"/>
        <v>pc_desktop</v>
      </c>
      <c r="J547" t="s">
        <v>982</v>
      </c>
    </row>
    <row r="548" spans="1:10" hidden="1" x14ac:dyDescent="0.2">
      <c r="A548" s="3" t="s">
        <v>536</v>
      </c>
      <c r="B548" s="6">
        <v>251.2314453125</v>
      </c>
      <c r="C548" s="6">
        <v>24.180890224324699</v>
      </c>
      <c r="D548" s="6">
        <v>39.2948066608811</v>
      </c>
      <c r="E548" s="6">
        <v>41.409992881526797</v>
      </c>
      <c r="F548" s="6">
        <v>0.99111187212476104</v>
      </c>
      <c r="G548" s="6">
        <v>91.235739318136197</v>
      </c>
      <c r="H548" s="6">
        <v>88.294126336264299</v>
      </c>
      <c r="I548" t="str">
        <f t="shared" si="9"/>
        <v>pc_desktop</v>
      </c>
      <c r="J548" t="s">
        <v>982</v>
      </c>
    </row>
    <row r="549" spans="1:10" hidden="1" x14ac:dyDescent="0.2">
      <c r="A549" s="3" t="s">
        <v>537</v>
      </c>
      <c r="B549" s="6">
        <v>234.7138671875</v>
      </c>
      <c r="C549" s="6">
        <v>25.882578105821999</v>
      </c>
      <c r="D549" s="6">
        <v>38.501396446796001</v>
      </c>
      <c r="E549" s="6">
        <v>40.617747311220903</v>
      </c>
      <c r="F549" s="6">
        <v>0.98988389855307302</v>
      </c>
      <c r="G549" s="6">
        <v>89.672919674178104</v>
      </c>
      <c r="H549" s="6">
        <v>87.507914508004703</v>
      </c>
      <c r="I549" t="str">
        <f t="shared" si="9"/>
        <v>pc_desktop</v>
      </c>
      <c r="J549" t="s">
        <v>982</v>
      </c>
    </row>
    <row r="550" spans="1:10" hidden="1" x14ac:dyDescent="0.2">
      <c r="A550" s="3" t="s">
        <v>538</v>
      </c>
      <c r="B550" s="6">
        <v>218.912109375</v>
      </c>
      <c r="C550" s="6">
        <v>27.750863199593201</v>
      </c>
      <c r="D550" s="6">
        <v>37.718051650898303</v>
      </c>
      <c r="E550" s="6">
        <v>39.834414791358498</v>
      </c>
      <c r="F550" s="6">
        <v>0.98840677981853897</v>
      </c>
      <c r="G550" s="6">
        <v>88.124872830676694</v>
      </c>
      <c r="H550" s="6">
        <v>86.575510421603894</v>
      </c>
      <c r="I550" t="str">
        <f t="shared" si="9"/>
        <v>pc_desktop</v>
      </c>
      <c r="J550" t="s">
        <v>982</v>
      </c>
    </row>
    <row r="551" spans="1:10" hidden="1" x14ac:dyDescent="0.2">
      <c r="A551" s="3" t="s">
        <v>539</v>
      </c>
      <c r="B551" s="6">
        <v>203.943359375</v>
      </c>
      <c r="C551" s="6">
        <v>29.787682318352001</v>
      </c>
      <c r="D551" s="6">
        <v>36.919848501204399</v>
      </c>
      <c r="E551" s="6">
        <v>39.037041638553397</v>
      </c>
      <c r="F551" s="6">
        <v>0.98678832546352802</v>
      </c>
      <c r="G551" s="6">
        <v>86.544581744201494</v>
      </c>
      <c r="H551" s="6">
        <v>85.570342726976804</v>
      </c>
      <c r="I551" t="str">
        <f t="shared" si="9"/>
        <v>pc_desktop</v>
      </c>
      <c r="J551" t="s">
        <v>982</v>
      </c>
    </row>
    <row r="552" spans="1:10" hidden="1" x14ac:dyDescent="0.2">
      <c r="A552" s="3" t="s">
        <v>540</v>
      </c>
      <c r="B552" s="6">
        <v>189.4716796875</v>
      </c>
      <c r="C552" s="6">
        <v>32.062839206469498</v>
      </c>
      <c r="D552" s="6">
        <v>36.111413674319401</v>
      </c>
      <c r="E552" s="6">
        <v>38.230248348314703</v>
      </c>
      <c r="F552" s="6">
        <v>0.984788624564223</v>
      </c>
      <c r="G552" s="6">
        <v>84.9383676260111</v>
      </c>
      <c r="H552" s="6">
        <v>84.351729516890799</v>
      </c>
      <c r="I552" t="str">
        <f t="shared" si="9"/>
        <v>pc_desktop</v>
      </c>
      <c r="J552" t="s">
        <v>982</v>
      </c>
    </row>
    <row r="553" spans="1:10" hidden="1" x14ac:dyDescent="0.2">
      <c r="A553" s="3" t="s">
        <v>541</v>
      </c>
      <c r="B553" s="6">
        <v>176.4697265625</v>
      </c>
      <c r="C553" s="6">
        <v>34.425168091641098</v>
      </c>
      <c r="D553" s="6">
        <v>35.329327536196402</v>
      </c>
      <c r="E553" s="6">
        <v>37.448066029476003</v>
      </c>
      <c r="F553" s="6">
        <v>0.98271023459648299</v>
      </c>
      <c r="G553" s="6">
        <v>83.370232886141295</v>
      </c>
      <c r="H553" s="6">
        <v>83.111951021816395</v>
      </c>
      <c r="I553" t="str">
        <f t="shared" si="9"/>
        <v>pc_desktop</v>
      </c>
      <c r="J553" t="s">
        <v>982</v>
      </c>
    </row>
    <row r="554" spans="1:10" hidden="1" x14ac:dyDescent="0.2">
      <c r="A554" s="3" t="s">
        <v>542</v>
      </c>
      <c r="B554" s="6">
        <v>163.25390625</v>
      </c>
      <c r="C554" s="6">
        <v>37.211973296963599</v>
      </c>
      <c r="D554" s="6">
        <v>34.494256617262302</v>
      </c>
      <c r="E554" s="6">
        <v>36.614931781660701</v>
      </c>
      <c r="F554" s="6">
        <v>0.98033737530080201</v>
      </c>
      <c r="G554" s="6">
        <v>81.681314209022204</v>
      </c>
      <c r="H554" s="6">
        <v>81.729142433335696</v>
      </c>
      <c r="I554" t="str">
        <f t="shared" si="9"/>
        <v>pc_desktop</v>
      </c>
      <c r="J554" t="s">
        <v>982</v>
      </c>
    </row>
    <row r="555" spans="1:10" hidden="1" x14ac:dyDescent="0.2">
      <c r="A555" s="3" t="s">
        <v>543</v>
      </c>
      <c r="B555" s="6">
        <v>151.3251953125</v>
      </c>
      <c r="C555" s="6">
        <v>40.145330640113102</v>
      </c>
      <c r="D555" s="6">
        <v>33.722914527398103</v>
      </c>
      <c r="E555" s="6">
        <v>35.844229945184601</v>
      </c>
      <c r="F555" s="6">
        <v>0.977691612304743</v>
      </c>
      <c r="G555" s="6">
        <v>80.092266617855998</v>
      </c>
      <c r="H555" s="6">
        <v>80.227282728457794</v>
      </c>
      <c r="I555" t="str">
        <f t="shared" si="9"/>
        <v>pc_desktop</v>
      </c>
      <c r="J555" t="s">
        <v>982</v>
      </c>
    </row>
    <row r="556" spans="1:10" hidden="1" x14ac:dyDescent="0.2">
      <c r="A556" s="3" t="s">
        <v>544</v>
      </c>
      <c r="B556" s="6">
        <v>139.734375</v>
      </c>
      <c r="C556" s="6">
        <v>43.475343844347499</v>
      </c>
      <c r="D556" s="6">
        <v>32.927988769247399</v>
      </c>
      <c r="E556" s="6">
        <v>35.050882751677698</v>
      </c>
      <c r="F556" s="6">
        <v>0.97474993944437205</v>
      </c>
      <c r="G556" s="6">
        <v>78.414876776356607</v>
      </c>
      <c r="H556" s="6">
        <v>78.605557693771104</v>
      </c>
      <c r="I556" t="str">
        <f t="shared" si="9"/>
        <v>pc_desktop</v>
      </c>
      <c r="J556" t="s">
        <v>982</v>
      </c>
    </row>
    <row r="557" spans="1:10" hidden="1" x14ac:dyDescent="0.2">
      <c r="A557" s="3" t="s">
        <v>545</v>
      </c>
      <c r="B557" s="6">
        <v>129.0458984375</v>
      </c>
      <c r="C557" s="6">
        <v>47.076273431055803</v>
      </c>
      <c r="D557" s="6">
        <v>32.132206740600097</v>
      </c>
      <c r="E557" s="6">
        <v>34.256193250945898</v>
      </c>
      <c r="F557" s="6">
        <v>0.97133156092498896</v>
      </c>
      <c r="G557" s="6">
        <v>76.669665447694399</v>
      </c>
      <c r="H557" s="6">
        <v>76.782636381021803</v>
      </c>
      <c r="I557" t="str">
        <f t="shared" si="9"/>
        <v>pc_desktop</v>
      </c>
      <c r="J557" t="s">
        <v>982</v>
      </c>
    </row>
    <row r="558" spans="1:10" hidden="1" x14ac:dyDescent="0.2">
      <c r="A558" s="3" t="s">
        <v>546</v>
      </c>
      <c r="B558" s="6">
        <v>118.6015625</v>
      </c>
      <c r="C558" s="6">
        <v>51.221922139516501</v>
      </c>
      <c r="D558" s="6">
        <v>31.354799693331699</v>
      </c>
      <c r="E558" s="6">
        <v>33.478218905105699</v>
      </c>
      <c r="F558" s="6">
        <v>0.96804250474561504</v>
      </c>
      <c r="G558" s="6">
        <v>74.865561151947603</v>
      </c>
      <c r="H558" s="6">
        <v>75.0890578755359</v>
      </c>
      <c r="I558" t="str">
        <f t="shared" si="9"/>
        <v>pc_desktop</v>
      </c>
      <c r="J558" t="s">
        <v>982</v>
      </c>
    </row>
    <row r="559" spans="1:10" hidden="1" x14ac:dyDescent="0.2">
      <c r="A559" s="3" t="s">
        <v>547</v>
      </c>
      <c r="B559" s="6">
        <v>108.4150390625</v>
      </c>
      <c r="C559" s="6">
        <v>56.034661358170403</v>
      </c>
      <c r="D559" s="6">
        <v>30.503862020947199</v>
      </c>
      <c r="E559" s="6">
        <v>32.632259097156002</v>
      </c>
      <c r="F559" s="6">
        <v>0.96298090372748801</v>
      </c>
      <c r="G559" s="6">
        <v>72.742241896124398</v>
      </c>
      <c r="H559" s="6">
        <v>72.593638683056298</v>
      </c>
      <c r="I559" t="str">
        <f t="shared" si="9"/>
        <v>pc_desktop</v>
      </c>
      <c r="J559" t="s">
        <v>982</v>
      </c>
    </row>
    <row r="560" spans="1:10" hidden="1" x14ac:dyDescent="0.2">
      <c r="A560" s="3" t="s">
        <v>548</v>
      </c>
      <c r="B560" s="6">
        <v>99.2080078125</v>
      </c>
      <c r="C560" s="6">
        <v>61.2349762277412</v>
      </c>
      <c r="D560" s="6">
        <v>29.7440213528497</v>
      </c>
      <c r="E560" s="6">
        <v>31.872892810835999</v>
      </c>
      <c r="F560" s="6">
        <v>0.95811897549580105</v>
      </c>
      <c r="G560" s="6">
        <v>70.628001234934601</v>
      </c>
      <c r="H560" s="6">
        <v>70.317287406018096</v>
      </c>
      <c r="I560" t="str">
        <f t="shared" si="9"/>
        <v>pc_desktop</v>
      </c>
      <c r="J560" t="s">
        <v>982</v>
      </c>
    </row>
    <row r="561" spans="1:10" hidden="1" x14ac:dyDescent="0.2">
      <c r="A561" s="3" t="s">
        <v>549</v>
      </c>
      <c r="B561" s="6">
        <v>90.599609375</v>
      </c>
      <c r="C561" s="6">
        <v>67.053269234914893</v>
      </c>
      <c r="D561" s="6">
        <v>28.949700154697599</v>
      </c>
      <c r="E561" s="6">
        <v>31.081358371132499</v>
      </c>
      <c r="F561" s="6">
        <v>0.95195856433577397</v>
      </c>
      <c r="G561" s="6">
        <v>68.131936990599499</v>
      </c>
      <c r="H561" s="6">
        <v>67.593084923873207</v>
      </c>
      <c r="I561" t="str">
        <f t="shared" si="9"/>
        <v>pc_desktop</v>
      </c>
      <c r="J561" t="s">
        <v>982</v>
      </c>
    </row>
    <row r="562" spans="1:10" hidden="1" x14ac:dyDescent="0.2">
      <c r="A562" s="3" t="s">
        <v>550</v>
      </c>
      <c r="B562" s="6">
        <v>359.3037109375</v>
      </c>
      <c r="C562" s="6">
        <v>16.907701799541801</v>
      </c>
      <c r="D562" s="6">
        <v>34.589497825613599</v>
      </c>
      <c r="E562" s="6">
        <v>41.118474005778602</v>
      </c>
      <c r="F562" s="6">
        <v>0.99634058756004995</v>
      </c>
      <c r="G562" s="6">
        <v>90.660933262770399</v>
      </c>
      <c r="H562" s="6">
        <v>91.757591877906407</v>
      </c>
      <c r="I562" t="str">
        <f t="shared" si="9"/>
        <v>rainier</v>
      </c>
      <c r="J562" t="s">
        <v>982</v>
      </c>
    </row>
    <row r="563" spans="1:10" hidden="1" x14ac:dyDescent="0.2">
      <c r="A563" s="3" t="s">
        <v>551</v>
      </c>
      <c r="B563" s="6">
        <v>339.1806640625</v>
      </c>
      <c r="C563" s="6">
        <v>17.910808733131599</v>
      </c>
      <c r="D563" s="6">
        <v>33.899519041855498</v>
      </c>
      <c r="E563" s="6">
        <v>40.428709764999397</v>
      </c>
      <c r="F563" s="6">
        <v>0.995649283098203</v>
      </c>
      <c r="G563" s="6">
        <v>89.299641881306002</v>
      </c>
      <c r="H563" s="6">
        <v>91.288699816855797</v>
      </c>
      <c r="I563" t="str">
        <f t="shared" si="9"/>
        <v>rainier</v>
      </c>
      <c r="J563" t="s">
        <v>982</v>
      </c>
    </row>
    <row r="564" spans="1:10" hidden="1" x14ac:dyDescent="0.2">
      <c r="A564" s="3" t="s">
        <v>552</v>
      </c>
      <c r="B564" s="6">
        <v>319.4306640625</v>
      </c>
      <c r="C564" s="6">
        <v>19.018211723128001</v>
      </c>
      <c r="D564" s="6">
        <v>33.012470465016598</v>
      </c>
      <c r="E564" s="6">
        <v>39.542623378311099</v>
      </c>
      <c r="F564" s="6">
        <v>0.99473048817788501</v>
      </c>
      <c r="G564" s="6">
        <v>87.547216852807594</v>
      </c>
      <c r="H564" s="6">
        <v>90.670750159297995</v>
      </c>
      <c r="I564" t="str">
        <f t="shared" si="9"/>
        <v>rainier</v>
      </c>
      <c r="J564" t="s">
        <v>982</v>
      </c>
    </row>
    <row r="565" spans="1:10" hidden="1" x14ac:dyDescent="0.2">
      <c r="A565" s="3" t="s">
        <v>553</v>
      </c>
      <c r="B565" s="6">
        <v>301.080078125</v>
      </c>
      <c r="C565" s="6">
        <v>20.1773562629336</v>
      </c>
      <c r="D565" s="6">
        <v>32.0483428533704</v>
      </c>
      <c r="E565" s="6">
        <v>38.579632895189398</v>
      </c>
      <c r="F565" s="6">
        <v>0.99346934455454805</v>
      </c>
      <c r="G565" s="6">
        <v>85.635064570999404</v>
      </c>
      <c r="H565" s="6">
        <v>89.832193972958294</v>
      </c>
      <c r="I565" t="str">
        <f t="shared" si="9"/>
        <v>rainier</v>
      </c>
      <c r="J565" t="s">
        <v>982</v>
      </c>
    </row>
    <row r="566" spans="1:10" hidden="1" x14ac:dyDescent="0.2">
      <c r="A566" s="3" t="s">
        <v>554</v>
      </c>
      <c r="B566" s="6">
        <v>283.15625</v>
      </c>
      <c r="C566" s="6">
        <v>21.4545855865798</v>
      </c>
      <c r="D566" s="6">
        <v>31.138119986246998</v>
      </c>
      <c r="E566" s="6">
        <v>37.670575617446502</v>
      </c>
      <c r="F566" s="6">
        <v>0.99189635119825703</v>
      </c>
      <c r="G566" s="6">
        <v>83.817721437732501</v>
      </c>
      <c r="H566" s="6">
        <v>88.801719466343201</v>
      </c>
      <c r="I566" t="str">
        <f t="shared" si="9"/>
        <v>rainier</v>
      </c>
      <c r="J566" t="s">
        <v>982</v>
      </c>
    </row>
    <row r="567" spans="1:10" hidden="1" x14ac:dyDescent="0.2">
      <c r="A567" s="3" t="s">
        <v>555</v>
      </c>
      <c r="B567" s="6">
        <v>264.2451171875</v>
      </c>
      <c r="C567" s="6">
        <v>22.9900179979083</v>
      </c>
      <c r="D567" s="6">
        <v>30.255976203960699</v>
      </c>
      <c r="E567" s="6">
        <v>36.789093479004002</v>
      </c>
      <c r="F567" s="6">
        <v>0.99003327450299194</v>
      </c>
      <c r="G567" s="6">
        <v>82.036427772580595</v>
      </c>
      <c r="H567" s="6">
        <v>87.603012361173299</v>
      </c>
      <c r="I567" t="str">
        <f t="shared" si="9"/>
        <v>rainier</v>
      </c>
      <c r="J567" t="s">
        <v>982</v>
      </c>
    </row>
    <row r="568" spans="1:10" hidden="1" x14ac:dyDescent="0.2">
      <c r="A568" s="3" t="s">
        <v>556</v>
      </c>
      <c r="B568" s="6">
        <v>246.0771484375</v>
      </c>
      <c r="C568" s="6">
        <v>24.687379704186402</v>
      </c>
      <c r="D568" s="6">
        <v>29.3984325549415</v>
      </c>
      <c r="E568" s="6">
        <v>35.933070135079802</v>
      </c>
      <c r="F568" s="6">
        <v>0.987775791093637</v>
      </c>
      <c r="G568" s="6">
        <v>80.277149934376595</v>
      </c>
      <c r="H568" s="6">
        <v>86.181593685884096</v>
      </c>
      <c r="I568" t="str">
        <f t="shared" si="9"/>
        <v>rainier</v>
      </c>
      <c r="J568" t="s">
        <v>982</v>
      </c>
    </row>
    <row r="569" spans="1:10" hidden="1" x14ac:dyDescent="0.2">
      <c r="A569" s="3" t="s">
        <v>557</v>
      </c>
      <c r="B569" s="6">
        <v>228.626953125</v>
      </c>
      <c r="C569" s="6">
        <v>26.571670211948</v>
      </c>
      <c r="D569" s="6">
        <v>28.613609555761801</v>
      </c>
      <c r="E569" s="6">
        <v>35.149076300788302</v>
      </c>
      <c r="F569" s="6">
        <v>0.98529498461814902</v>
      </c>
      <c r="G569" s="6">
        <v>78.625451453173099</v>
      </c>
      <c r="H569" s="6">
        <v>84.657892352566506</v>
      </c>
      <c r="I569" t="str">
        <f t="shared" si="9"/>
        <v>rainier</v>
      </c>
      <c r="J569" t="s">
        <v>982</v>
      </c>
    </row>
    <row r="570" spans="1:10" hidden="1" x14ac:dyDescent="0.2">
      <c r="A570" s="3" t="s">
        <v>558</v>
      </c>
      <c r="B570" s="6">
        <v>211.333984375</v>
      </c>
      <c r="C570" s="6">
        <v>28.745968226389301</v>
      </c>
      <c r="D570" s="6">
        <v>27.7881394357034</v>
      </c>
      <c r="E570" s="6">
        <v>34.3241503504062</v>
      </c>
      <c r="F570" s="6">
        <v>0.98231988459966801</v>
      </c>
      <c r="G570" s="6">
        <v>76.822205107632698</v>
      </c>
      <c r="H570" s="6">
        <v>82.882101234154106</v>
      </c>
      <c r="I570" t="str">
        <f t="shared" si="9"/>
        <v>rainier</v>
      </c>
      <c r="J570" t="s">
        <v>982</v>
      </c>
    </row>
    <row r="571" spans="1:10" hidden="1" x14ac:dyDescent="0.2">
      <c r="A571" s="3" t="s">
        <v>559</v>
      </c>
      <c r="B571" s="6">
        <v>194.142578125</v>
      </c>
      <c r="C571" s="6">
        <v>31.291435699842101</v>
      </c>
      <c r="D571" s="6">
        <v>26.847716933551801</v>
      </c>
      <c r="E571" s="6">
        <v>33.384180199380097</v>
      </c>
      <c r="F571" s="6">
        <v>0.97858603811427503</v>
      </c>
      <c r="G571" s="6">
        <v>74.639036770745903</v>
      </c>
      <c r="H571" s="6">
        <v>80.730352968762404</v>
      </c>
      <c r="I571" t="str">
        <f t="shared" si="9"/>
        <v>rainier</v>
      </c>
      <c r="J571" t="s">
        <v>982</v>
      </c>
    </row>
    <row r="572" spans="1:10" hidden="1" x14ac:dyDescent="0.2">
      <c r="A572" s="3" t="s">
        <v>560</v>
      </c>
      <c r="B572" s="6">
        <v>176.7314453125</v>
      </c>
      <c r="C572" s="6">
        <v>34.374188414846401</v>
      </c>
      <c r="D572" s="6">
        <v>25.796617970757101</v>
      </c>
      <c r="E572" s="6">
        <v>32.335157667816198</v>
      </c>
      <c r="F572" s="6">
        <v>0.97374327608529199</v>
      </c>
      <c r="G572" s="6">
        <v>71.942610649490703</v>
      </c>
      <c r="H572" s="6">
        <v>78.0619513992729</v>
      </c>
      <c r="I572" t="str">
        <f t="shared" si="9"/>
        <v>rainier</v>
      </c>
      <c r="J572" t="s">
        <v>982</v>
      </c>
    </row>
    <row r="573" spans="1:10" hidden="1" x14ac:dyDescent="0.2">
      <c r="A573" s="3" t="s">
        <v>561</v>
      </c>
      <c r="B573" s="6">
        <v>157.642578125</v>
      </c>
      <c r="C573" s="6">
        <v>38.536543059977902</v>
      </c>
      <c r="D573" s="6">
        <v>24.568121625760899</v>
      </c>
      <c r="E573" s="6">
        <v>31.110793552189801</v>
      </c>
      <c r="F573" s="6">
        <v>0.96706276073709396</v>
      </c>
      <c r="G573" s="6">
        <v>68.231147640330406</v>
      </c>
      <c r="H573" s="6">
        <v>74.595706950680096</v>
      </c>
      <c r="I573" t="str">
        <f t="shared" si="9"/>
        <v>rainier</v>
      </c>
      <c r="J573" t="s">
        <v>982</v>
      </c>
    </row>
    <row r="574" spans="1:10" hidden="1" x14ac:dyDescent="0.2">
      <c r="A574" s="3" t="s">
        <v>562</v>
      </c>
      <c r="B574" s="6">
        <v>138.3798828125</v>
      </c>
      <c r="C574" s="6">
        <v>43.900889901976697</v>
      </c>
      <c r="D574" s="6">
        <v>23.407092598162698</v>
      </c>
      <c r="E574" s="6">
        <v>29.954104242346599</v>
      </c>
      <c r="F574" s="6">
        <v>0.95891012692423105</v>
      </c>
      <c r="G574" s="6">
        <v>63.890867234392402</v>
      </c>
      <c r="H574" s="6">
        <v>70.679916806743407</v>
      </c>
      <c r="I574" t="str">
        <f t="shared" si="9"/>
        <v>rainier</v>
      </c>
      <c r="J574" t="s">
        <v>982</v>
      </c>
    </row>
    <row r="575" spans="1:10" hidden="1" x14ac:dyDescent="0.2">
      <c r="A575" s="3" t="s">
        <v>563</v>
      </c>
      <c r="B575" s="6">
        <v>122.3388671875</v>
      </c>
      <c r="C575" s="6">
        <v>49.657154260626598</v>
      </c>
      <c r="D575" s="6">
        <v>22.4742625048005</v>
      </c>
      <c r="E575" s="6">
        <v>29.024106217350202</v>
      </c>
      <c r="F575" s="6">
        <v>0.95085501623686797</v>
      </c>
      <c r="G575" s="6">
        <v>59.686279130743003</v>
      </c>
      <c r="H575" s="6">
        <v>67.123159771022998</v>
      </c>
      <c r="I575" t="str">
        <f t="shared" si="9"/>
        <v>rainier</v>
      </c>
      <c r="J575" t="s">
        <v>982</v>
      </c>
    </row>
    <row r="576" spans="1:10" hidden="1" x14ac:dyDescent="0.2">
      <c r="A576" s="3" t="s">
        <v>564</v>
      </c>
      <c r="B576" s="6">
        <v>107.3671875</v>
      </c>
      <c r="C576" s="6">
        <v>56.581532416502903</v>
      </c>
      <c r="D576" s="6">
        <v>21.618333655038199</v>
      </c>
      <c r="E576" s="6">
        <v>28.175628634391899</v>
      </c>
      <c r="F576" s="6">
        <v>0.94212471870329795</v>
      </c>
      <c r="G576" s="6">
        <v>55.353174139370601</v>
      </c>
      <c r="H576" s="6">
        <v>63.588081512419002</v>
      </c>
      <c r="I576" t="str">
        <f t="shared" si="9"/>
        <v>rainier</v>
      </c>
      <c r="J576" t="s">
        <v>982</v>
      </c>
    </row>
    <row r="577" spans="1:10" hidden="1" x14ac:dyDescent="0.2">
      <c r="A577" s="3" t="s">
        <v>565</v>
      </c>
      <c r="B577" s="6">
        <v>93.8193359375</v>
      </c>
      <c r="C577" s="6">
        <v>64.7521104183364</v>
      </c>
      <c r="D577" s="6">
        <v>20.8285851637172</v>
      </c>
      <c r="E577" s="6">
        <v>27.3882545026235</v>
      </c>
      <c r="F577" s="6">
        <v>0.93260106129695497</v>
      </c>
      <c r="G577" s="6">
        <v>51.0999879664231</v>
      </c>
      <c r="H577" s="6">
        <v>60.076070352985198</v>
      </c>
      <c r="I577" t="str">
        <f t="shared" si="9"/>
        <v>rainier</v>
      </c>
      <c r="J577" t="s">
        <v>982</v>
      </c>
    </row>
    <row r="578" spans="1:10" hidden="1" x14ac:dyDescent="0.2">
      <c r="A578" s="3" t="s">
        <v>566</v>
      </c>
      <c r="B578" s="6">
        <v>256.341796875</v>
      </c>
      <c r="C578" s="6">
        <v>23.698827401769201</v>
      </c>
      <c r="D578" s="6">
        <v>34.852987388195302</v>
      </c>
      <c r="E578" s="6">
        <v>42.379850655379101</v>
      </c>
      <c r="F578" s="6">
        <v>0.97112184929020395</v>
      </c>
      <c r="G578" s="6">
        <v>93.146513502238406</v>
      </c>
      <c r="H578" s="6">
        <v>76.672908810567407</v>
      </c>
      <c r="I578" t="str">
        <f t="shared" si="9"/>
        <v>room</v>
      </c>
      <c r="J578" t="s">
        <v>982</v>
      </c>
    </row>
    <row r="579" spans="1:10" hidden="1" x14ac:dyDescent="0.2">
      <c r="A579" s="3" t="s">
        <v>567</v>
      </c>
      <c r="B579" s="6">
        <v>221.859375</v>
      </c>
      <c r="C579" s="6">
        <v>27.382210014789798</v>
      </c>
      <c r="D579" s="6">
        <v>34.244752543283802</v>
      </c>
      <c r="E579" s="6">
        <v>41.772000391658302</v>
      </c>
      <c r="F579" s="6">
        <v>0.96696189656347598</v>
      </c>
      <c r="G579" s="6">
        <v>91.949197618771606</v>
      </c>
      <c r="H579" s="6">
        <v>74.545202255807695</v>
      </c>
      <c r="I579" t="str">
        <f t="shared" si="9"/>
        <v>room</v>
      </c>
      <c r="J579" t="s">
        <v>982</v>
      </c>
    </row>
    <row r="580" spans="1:10" hidden="1" x14ac:dyDescent="0.2">
      <c r="A580" s="3" t="s">
        <v>568</v>
      </c>
      <c r="B580" s="6">
        <v>189.8544921875</v>
      </c>
      <c r="C580" s="6">
        <v>31.998189402863002</v>
      </c>
      <c r="D580" s="6">
        <v>33.641266324545001</v>
      </c>
      <c r="E580" s="6">
        <v>41.169184112375902</v>
      </c>
      <c r="F580" s="6">
        <v>0.96229241099338103</v>
      </c>
      <c r="G580" s="6">
        <v>90.760940880866102</v>
      </c>
      <c r="H580" s="6">
        <v>72.264253019881806</v>
      </c>
      <c r="I580" t="str">
        <f t="shared" si="9"/>
        <v>room</v>
      </c>
      <c r="J580" t="s">
        <v>982</v>
      </c>
    </row>
    <row r="581" spans="1:10" hidden="1" x14ac:dyDescent="0.2">
      <c r="A581" s="3" t="s">
        <v>569</v>
      </c>
      <c r="B581" s="6">
        <v>161.533203125</v>
      </c>
      <c r="C581" s="6">
        <v>37.608367087842304</v>
      </c>
      <c r="D581" s="6">
        <v>33.059293208322501</v>
      </c>
      <c r="E581" s="6">
        <v>40.586379226200002</v>
      </c>
      <c r="F581" s="6">
        <v>0.95702237120783196</v>
      </c>
      <c r="G581" s="6">
        <v>89.6109911151011</v>
      </c>
      <c r="H581" s="6">
        <v>69.819548992205</v>
      </c>
      <c r="I581" t="str">
        <f t="shared" si="9"/>
        <v>room</v>
      </c>
      <c r="J581" t="s">
        <v>982</v>
      </c>
    </row>
    <row r="582" spans="1:10" hidden="1" x14ac:dyDescent="0.2">
      <c r="A582" s="3" t="s">
        <v>570</v>
      </c>
      <c r="B582" s="6">
        <v>137.4521484375</v>
      </c>
      <c r="C582" s="6">
        <v>44.197199309418799</v>
      </c>
      <c r="D582" s="6">
        <v>32.5174849400588</v>
      </c>
      <c r="E582" s="6">
        <v>40.043505390536197</v>
      </c>
      <c r="F582" s="6">
        <v>0.95179726117827501</v>
      </c>
      <c r="G582" s="6">
        <v>88.538434103199506</v>
      </c>
      <c r="H582" s="6">
        <v>67.524062205645606</v>
      </c>
      <c r="I582" t="str">
        <f t="shared" si="9"/>
        <v>room</v>
      </c>
      <c r="J582" t="s">
        <v>982</v>
      </c>
    </row>
    <row r="583" spans="1:10" hidden="1" x14ac:dyDescent="0.2">
      <c r="A583" s="3" t="s">
        <v>571</v>
      </c>
      <c r="B583" s="6">
        <v>117.392578125</v>
      </c>
      <c r="C583" s="6">
        <v>51.7494384826553</v>
      </c>
      <c r="D583" s="6">
        <v>31.990258442612902</v>
      </c>
      <c r="E583" s="6">
        <v>39.516457935218398</v>
      </c>
      <c r="F583" s="6">
        <v>0.94646654256306395</v>
      </c>
      <c r="G583" s="6">
        <v>87.495384739046798</v>
      </c>
      <c r="H583" s="6">
        <v>65.306476455215503</v>
      </c>
      <c r="I583" t="str">
        <f t="shared" si="9"/>
        <v>room</v>
      </c>
      <c r="J583" t="s">
        <v>982</v>
      </c>
    </row>
    <row r="584" spans="1:10" hidden="1" x14ac:dyDescent="0.2">
      <c r="A584" s="3" t="s">
        <v>572</v>
      </c>
      <c r="B584" s="6">
        <v>100.046875</v>
      </c>
      <c r="C584" s="6">
        <v>60.721536779634498</v>
      </c>
      <c r="D584" s="6">
        <v>31.478817218704201</v>
      </c>
      <c r="E584" s="6">
        <v>39.004944364991601</v>
      </c>
      <c r="F584" s="6">
        <v>0.94104428075174995</v>
      </c>
      <c r="G584" s="6">
        <v>86.480841622798494</v>
      </c>
      <c r="H584" s="6">
        <v>63.172238966357597</v>
      </c>
      <c r="I584" t="str">
        <f t="shared" si="9"/>
        <v>room</v>
      </c>
      <c r="J584" t="s">
        <v>982</v>
      </c>
    </row>
    <row r="585" spans="1:10" hidden="1" x14ac:dyDescent="0.2">
      <c r="A585" s="3" t="s">
        <v>573</v>
      </c>
      <c r="B585" s="6">
        <v>84.857421875</v>
      </c>
      <c r="C585" s="6">
        <v>71.590673694386297</v>
      </c>
      <c r="D585" s="6">
        <v>30.987198937668399</v>
      </c>
      <c r="E585" s="6">
        <v>38.5125851749494</v>
      </c>
      <c r="F585" s="6">
        <v>0.93550016036887695</v>
      </c>
      <c r="G585" s="6">
        <v>85.501512800413806</v>
      </c>
      <c r="H585" s="6">
        <v>61.109252586212101</v>
      </c>
      <c r="I585" t="str">
        <f t="shared" si="9"/>
        <v>room</v>
      </c>
      <c r="J585" t="s">
        <v>982</v>
      </c>
    </row>
    <row r="586" spans="1:10" hidden="1" x14ac:dyDescent="0.2">
      <c r="A586" s="3" t="s">
        <v>574</v>
      </c>
      <c r="B586" s="6">
        <v>72.9423828125</v>
      </c>
      <c r="C586" s="6">
        <v>83.284912910179003</v>
      </c>
      <c r="D586" s="6">
        <v>30.496366568010998</v>
      </c>
      <c r="E586" s="6">
        <v>38.024570450561797</v>
      </c>
      <c r="F586" s="6">
        <v>0.93002534643114598</v>
      </c>
      <c r="G586" s="6">
        <v>84.527265180882097</v>
      </c>
      <c r="H586" s="6">
        <v>59.183337549307502</v>
      </c>
      <c r="I586" t="str">
        <f t="shared" si="9"/>
        <v>room</v>
      </c>
      <c r="J586" t="s">
        <v>982</v>
      </c>
    </row>
    <row r="587" spans="1:10" hidden="1" x14ac:dyDescent="0.2">
      <c r="A587" s="3" t="s">
        <v>575</v>
      </c>
      <c r="B587" s="6">
        <v>63.0068359375</v>
      </c>
      <c r="C587" s="6">
        <v>96.418109394132003</v>
      </c>
      <c r="D587" s="6">
        <v>30.026644955725502</v>
      </c>
      <c r="E587" s="6">
        <v>37.554965918643397</v>
      </c>
      <c r="F587" s="6">
        <v>0.92467311604711699</v>
      </c>
      <c r="G587" s="6">
        <v>83.585375760485505</v>
      </c>
      <c r="H587" s="6">
        <v>57.401110829274302</v>
      </c>
      <c r="I587" t="str">
        <f t="shared" si="9"/>
        <v>room</v>
      </c>
      <c r="J587" t="s">
        <v>982</v>
      </c>
    </row>
    <row r="588" spans="1:10" hidden="1" x14ac:dyDescent="0.2">
      <c r="A588" s="3" t="s">
        <v>576</v>
      </c>
      <c r="B588" s="6">
        <v>54.32421875</v>
      </c>
      <c r="C588" s="6">
        <v>111.82857553749901</v>
      </c>
      <c r="D588" s="6">
        <v>29.579312595368201</v>
      </c>
      <c r="E588" s="6">
        <v>37.105564918109899</v>
      </c>
      <c r="F588" s="6">
        <v>0.91951591451084602</v>
      </c>
      <c r="G588" s="6">
        <v>82.678755074369803</v>
      </c>
      <c r="H588" s="6">
        <v>55.772425051387202</v>
      </c>
      <c r="I588" t="str">
        <f t="shared" si="9"/>
        <v>room</v>
      </c>
      <c r="J588" t="s">
        <v>982</v>
      </c>
    </row>
    <row r="589" spans="1:10" hidden="1" x14ac:dyDescent="0.2">
      <c r="A589" s="3" t="s">
        <v>577</v>
      </c>
      <c r="B589" s="6">
        <v>47.66015625</v>
      </c>
      <c r="C589" s="6">
        <v>127.46496188837</v>
      </c>
      <c r="D589" s="6">
        <v>29.114159712139099</v>
      </c>
      <c r="E589" s="6">
        <v>36.642422244532</v>
      </c>
      <c r="F589" s="6">
        <v>0.91413075723579496</v>
      </c>
      <c r="G589" s="6">
        <v>81.737450425007097</v>
      </c>
      <c r="H589" s="6">
        <v>54.159181012709702</v>
      </c>
      <c r="I589" t="str">
        <f t="shared" si="9"/>
        <v>room</v>
      </c>
      <c r="J589" t="s">
        <v>982</v>
      </c>
    </row>
    <row r="590" spans="1:10" hidden="1" x14ac:dyDescent="0.2">
      <c r="A590" s="3" t="s">
        <v>578</v>
      </c>
      <c r="B590" s="6">
        <v>41.3828125</v>
      </c>
      <c r="C590" s="6">
        <v>146.800075514442</v>
      </c>
      <c r="D590" s="6">
        <v>28.667558025438499</v>
      </c>
      <c r="E590" s="6">
        <v>36.194441222999899</v>
      </c>
      <c r="F590" s="6">
        <v>0.90895097236419597</v>
      </c>
      <c r="G590" s="6">
        <v>80.818299782235499</v>
      </c>
      <c r="H590" s="6">
        <v>52.686897288860798</v>
      </c>
      <c r="I590" t="str">
        <f t="shared" si="9"/>
        <v>room</v>
      </c>
      <c r="J590" t="s">
        <v>982</v>
      </c>
    </row>
    <row r="591" spans="1:10" hidden="1" x14ac:dyDescent="0.2">
      <c r="A591" s="3" t="s">
        <v>579</v>
      </c>
      <c r="B591" s="6">
        <v>36.4375</v>
      </c>
      <c r="C591" s="6">
        <v>166.72384219553999</v>
      </c>
      <c r="D591" s="6">
        <v>28.1909825970959</v>
      </c>
      <c r="E591" s="6">
        <v>35.719924841664003</v>
      </c>
      <c r="F591" s="6">
        <v>0.90324930667661596</v>
      </c>
      <c r="G591" s="6">
        <v>79.832699462255405</v>
      </c>
      <c r="H591" s="6">
        <v>51.150975400854598</v>
      </c>
      <c r="I591" t="str">
        <f t="shared" si="9"/>
        <v>room</v>
      </c>
      <c r="J591" t="s">
        <v>982</v>
      </c>
    </row>
    <row r="592" spans="1:10" hidden="1" x14ac:dyDescent="0.2">
      <c r="A592" s="3" t="s">
        <v>580</v>
      </c>
      <c r="B592" s="6">
        <v>32.0048828125</v>
      </c>
      <c r="C592" s="6">
        <v>189.81478656210899</v>
      </c>
      <c r="D592" s="6">
        <v>27.7302785645089</v>
      </c>
      <c r="E592" s="6">
        <v>35.260458220497</v>
      </c>
      <c r="F592" s="6">
        <v>0.89746873110895897</v>
      </c>
      <c r="G592" s="6">
        <v>78.863187285974007</v>
      </c>
      <c r="H592" s="6">
        <v>49.678876702672099</v>
      </c>
      <c r="I592" t="str">
        <f t="shared" si="9"/>
        <v>room</v>
      </c>
      <c r="J592" t="s">
        <v>982</v>
      </c>
    </row>
    <row r="593" spans="1:10" hidden="1" x14ac:dyDescent="0.2">
      <c r="A593" s="3" t="s">
        <v>581</v>
      </c>
      <c r="B593" s="6">
        <v>28.2978515625</v>
      </c>
      <c r="C593" s="6">
        <v>214.68060875867101</v>
      </c>
      <c r="D593" s="6">
        <v>27.264191743708</v>
      </c>
      <c r="E593" s="6">
        <v>34.796739395928697</v>
      </c>
      <c r="F593" s="6">
        <v>0.89170997718196998</v>
      </c>
      <c r="G593" s="6">
        <v>77.865193032557599</v>
      </c>
      <c r="H593" s="6">
        <v>48.292123672825703</v>
      </c>
      <c r="I593" t="str">
        <f t="shared" si="9"/>
        <v>room</v>
      </c>
      <c r="J593" t="s">
        <v>982</v>
      </c>
    </row>
    <row r="594" spans="1:10" hidden="1" x14ac:dyDescent="0.2">
      <c r="A594" s="3" t="s">
        <v>662</v>
      </c>
      <c r="B594" s="6">
        <v>579.185546875</v>
      </c>
      <c r="C594" s="6">
        <v>10.488866707357801</v>
      </c>
      <c r="D594" s="6">
        <v>37.933019780210998</v>
      </c>
      <c r="E594" s="6">
        <v>39.667442432304803</v>
      </c>
      <c r="F594" s="6">
        <v>0.98430976703361905</v>
      </c>
      <c r="G594" s="6">
        <v>87.794399231492605</v>
      </c>
      <c r="H594" s="6">
        <v>84.063687213926002</v>
      </c>
      <c r="I594" t="str">
        <f t="shared" si="9"/>
        <v>scratches</v>
      </c>
      <c r="J594" t="s">
        <v>982</v>
      </c>
    </row>
    <row r="595" spans="1:10" hidden="1" x14ac:dyDescent="0.2">
      <c r="A595" s="3" t="s">
        <v>663</v>
      </c>
      <c r="B595" s="6">
        <v>514.5458984375</v>
      </c>
      <c r="C595" s="6">
        <v>11.8065269171277</v>
      </c>
      <c r="D595" s="6">
        <v>37.277965815738398</v>
      </c>
      <c r="E595" s="6">
        <v>39.013038424276999</v>
      </c>
      <c r="F595" s="6">
        <v>0.98190517184549997</v>
      </c>
      <c r="G595" s="6">
        <v>86.496916227477399</v>
      </c>
      <c r="H595" s="6">
        <v>82.638933801233406</v>
      </c>
      <c r="I595" t="str">
        <f t="shared" ref="I595:I658" si="10">MID(A595,1,(FIND("yuv",A595))-1)</f>
        <v>scratches</v>
      </c>
      <c r="J595" t="s">
        <v>982</v>
      </c>
    </row>
    <row r="596" spans="1:10" hidden="1" x14ac:dyDescent="0.2">
      <c r="A596" s="3" t="s">
        <v>664</v>
      </c>
      <c r="B596" s="6">
        <v>457.7060546875</v>
      </c>
      <c r="C596" s="6">
        <v>13.2727105918398</v>
      </c>
      <c r="D596" s="6">
        <v>36.630103943090603</v>
      </c>
      <c r="E596" s="6">
        <v>38.365103893629097</v>
      </c>
      <c r="F596" s="6">
        <v>0.97913470014120296</v>
      </c>
      <c r="G596" s="6">
        <v>85.207508331166807</v>
      </c>
      <c r="H596" s="6">
        <v>81.041287423449404</v>
      </c>
      <c r="I596" t="str">
        <f t="shared" si="10"/>
        <v>scratches</v>
      </c>
      <c r="J596" t="s">
        <v>982</v>
      </c>
    </row>
    <row r="597" spans="1:10" hidden="1" x14ac:dyDescent="0.2">
      <c r="A597" s="3" t="s">
        <v>665</v>
      </c>
      <c r="B597" s="6">
        <v>403.2666015625</v>
      </c>
      <c r="C597" s="6">
        <v>15.0644758987274</v>
      </c>
      <c r="D597" s="6">
        <v>35.978411543874699</v>
      </c>
      <c r="E597" s="6">
        <v>37.713311713883897</v>
      </c>
      <c r="F597" s="6">
        <v>0.97598498072186601</v>
      </c>
      <c r="G597" s="6">
        <v>83.903528321383007</v>
      </c>
      <c r="H597" s="6">
        <v>79.280354693032194</v>
      </c>
      <c r="I597" t="str">
        <f t="shared" si="10"/>
        <v>scratches</v>
      </c>
      <c r="J597" t="s">
        <v>982</v>
      </c>
    </row>
    <row r="598" spans="1:10" hidden="1" x14ac:dyDescent="0.2">
      <c r="A598" s="3" t="s">
        <v>666</v>
      </c>
      <c r="B598" s="6">
        <v>354.90234375</v>
      </c>
      <c r="C598" s="6">
        <v>17.117384843982201</v>
      </c>
      <c r="D598" s="6">
        <v>35.360925910231401</v>
      </c>
      <c r="E598" s="6">
        <v>37.095879978095702</v>
      </c>
      <c r="F598" s="6">
        <v>0.97250266902842197</v>
      </c>
      <c r="G598" s="6">
        <v>82.659149648741405</v>
      </c>
      <c r="H598" s="6">
        <v>77.399834820266705</v>
      </c>
      <c r="I598" t="str">
        <f t="shared" si="10"/>
        <v>scratches</v>
      </c>
      <c r="J598" t="s">
        <v>982</v>
      </c>
    </row>
    <row r="599" spans="1:10" hidden="1" x14ac:dyDescent="0.2">
      <c r="A599" s="3" t="s">
        <v>667</v>
      </c>
      <c r="B599" s="6">
        <v>309.853515625</v>
      </c>
      <c r="C599" s="6">
        <v>19.606038639730201</v>
      </c>
      <c r="D599" s="6">
        <v>34.743428660326501</v>
      </c>
      <c r="E599" s="6">
        <v>36.477782410143902</v>
      </c>
      <c r="F599" s="6">
        <v>0.96862530634941402</v>
      </c>
      <c r="G599" s="6">
        <v>81.400756316113899</v>
      </c>
      <c r="H599" s="6">
        <v>75.384928289769306</v>
      </c>
      <c r="I599" t="str">
        <f t="shared" si="10"/>
        <v>scratches</v>
      </c>
      <c r="J599" t="s">
        <v>982</v>
      </c>
    </row>
    <row r="600" spans="1:10" hidden="1" x14ac:dyDescent="0.2">
      <c r="A600" s="3" t="s">
        <v>668</v>
      </c>
      <c r="B600" s="6">
        <v>270.1767578125</v>
      </c>
      <c r="C600" s="6">
        <v>22.4852798189842</v>
      </c>
      <c r="D600" s="6">
        <v>34.1340871809319</v>
      </c>
      <c r="E600" s="6">
        <v>35.868536384812998</v>
      </c>
      <c r="F600" s="6">
        <v>0.96428462451832597</v>
      </c>
      <c r="G600" s="6">
        <v>80.142900807482903</v>
      </c>
      <c r="H600" s="6">
        <v>73.223861167656395</v>
      </c>
      <c r="I600" t="str">
        <f t="shared" si="10"/>
        <v>scratches</v>
      </c>
      <c r="J600" t="s">
        <v>982</v>
      </c>
    </row>
    <row r="601" spans="1:10" hidden="1" x14ac:dyDescent="0.2">
      <c r="A601" s="3" t="s">
        <v>669</v>
      </c>
      <c r="B601" s="6">
        <v>234.7958984375</v>
      </c>
      <c r="C601" s="6">
        <v>25.873535442601</v>
      </c>
      <c r="D601" s="6">
        <v>33.541977259306897</v>
      </c>
      <c r="E601" s="6">
        <v>35.2761966538203</v>
      </c>
      <c r="F601" s="6">
        <v>0.959558920070397</v>
      </c>
      <c r="G601" s="6">
        <v>78.896687470188098</v>
      </c>
      <c r="H601" s="6">
        <v>70.979526048926999</v>
      </c>
      <c r="I601" t="str">
        <f t="shared" si="10"/>
        <v>scratches</v>
      </c>
      <c r="J601" t="s">
        <v>982</v>
      </c>
    </row>
    <row r="602" spans="1:10" hidden="1" x14ac:dyDescent="0.2">
      <c r="A602" s="3" t="s">
        <v>670</v>
      </c>
      <c r="B602" s="6">
        <v>203.8623046875</v>
      </c>
      <c r="C602" s="6">
        <v>29.799525759862</v>
      </c>
      <c r="D602" s="6">
        <v>32.975494281134303</v>
      </c>
      <c r="E602" s="6">
        <v>34.7098851155205</v>
      </c>
      <c r="F602" s="6">
        <v>0.95453800029251901</v>
      </c>
      <c r="G602" s="6">
        <v>77.675663642741597</v>
      </c>
      <c r="H602" s="6">
        <v>68.7126290900474</v>
      </c>
      <c r="I602" t="str">
        <f t="shared" si="10"/>
        <v>scratches</v>
      </c>
      <c r="J602" t="s">
        <v>982</v>
      </c>
    </row>
    <row r="603" spans="1:10" hidden="1" x14ac:dyDescent="0.2">
      <c r="A603" s="3" t="s">
        <v>671</v>
      </c>
      <c r="B603" s="6">
        <v>176.31640625</v>
      </c>
      <c r="C603" s="6">
        <v>34.455103352017197</v>
      </c>
      <c r="D603" s="6">
        <v>32.4095439775964</v>
      </c>
      <c r="E603" s="6">
        <v>34.145021582381297</v>
      </c>
      <c r="F603" s="6">
        <v>0.94911360491070196</v>
      </c>
      <c r="G603" s="6">
        <v>76.418571365567203</v>
      </c>
      <c r="H603" s="6">
        <v>66.392419155663902</v>
      </c>
      <c r="I603" t="str">
        <f t="shared" si="10"/>
        <v>scratches</v>
      </c>
      <c r="J603" t="s">
        <v>982</v>
      </c>
    </row>
    <row r="604" spans="1:10" hidden="1" x14ac:dyDescent="0.2">
      <c r="A604" s="3" t="s">
        <v>672</v>
      </c>
      <c r="B604" s="6">
        <v>151.9833984375</v>
      </c>
      <c r="C604" s="6">
        <v>39.971470979432098</v>
      </c>
      <c r="D604" s="6">
        <v>31.857496352859901</v>
      </c>
      <c r="E604" s="6">
        <v>33.592696836915501</v>
      </c>
      <c r="F604" s="6">
        <v>0.94305574663814196</v>
      </c>
      <c r="G604" s="6">
        <v>75.138583561685607</v>
      </c>
      <c r="H604" s="6">
        <v>63.950133667597797</v>
      </c>
      <c r="I604" t="str">
        <f t="shared" si="10"/>
        <v>scratches</v>
      </c>
      <c r="J604" t="s">
        <v>982</v>
      </c>
    </row>
    <row r="605" spans="1:10" hidden="1" x14ac:dyDescent="0.2">
      <c r="A605" s="3" t="s">
        <v>673</v>
      </c>
      <c r="B605" s="6">
        <v>130.8466796875</v>
      </c>
      <c r="C605" s="6">
        <v>46.4283848433057</v>
      </c>
      <c r="D605" s="6">
        <v>31.3317036098918</v>
      </c>
      <c r="E605" s="6">
        <v>33.066500285770999</v>
      </c>
      <c r="F605" s="6">
        <v>0.936783498836114</v>
      </c>
      <c r="G605" s="6">
        <v>73.857440040338503</v>
      </c>
      <c r="H605" s="6">
        <v>61.576446134309698</v>
      </c>
      <c r="I605" t="str">
        <f t="shared" si="10"/>
        <v>scratches</v>
      </c>
      <c r="J605" t="s">
        <v>982</v>
      </c>
    </row>
    <row r="606" spans="1:10" hidden="1" x14ac:dyDescent="0.2">
      <c r="A606" s="3" t="s">
        <v>674</v>
      </c>
      <c r="B606" s="6">
        <v>111.9833984375</v>
      </c>
      <c r="C606" s="6">
        <v>54.249112678881303</v>
      </c>
      <c r="D606" s="6">
        <v>30.807980279565001</v>
      </c>
      <c r="E606" s="6">
        <v>32.5456941846098</v>
      </c>
      <c r="F606" s="6">
        <v>0.92996899054855098</v>
      </c>
      <c r="G606" s="6">
        <v>72.512573485399898</v>
      </c>
      <c r="H606" s="6">
        <v>59.164064484179299</v>
      </c>
      <c r="I606" t="str">
        <f t="shared" si="10"/>
        <v>scratches</v>
      </c>
      <c r="J606" t="s">
        <v>982</v>
      </c>
    </row>
    <row r="607" spans="1:10" hidden="1" x14ac:dyDescent="0.2">
      <c r="A607" s="3" t="s">
        <v>675</v>
      </c>
      <c r="B607" s="6">
        <v>96.35546875</v>
      </c>
      <c r="C607" s="6">
        <v>63.047796651396602</v>
      </c>
      <c r="D607" s="6">
        <v>30.3053144070477</v>
      </c>
      <c r="E607" s="6">
        <v>32.0431486497218</v>
      </c>
      <c r="F607" s="6">
        <v>0.92294828426798703</v>
      </c>
      <c r="G607" s="6">
        <v>71.123000771013295</v>
      </c>
      <c r="H607" s="6">
        <v>56.846972650713298</v>
      </c>
      <c r="I607" t="str">
        <f t="shared" si="10"/>
        <v>scratches</v>
      </c>
      <c r="J607" t="s">
        <v>982</v>
      </c>
    </row>
    <row r="608" spans="1:10" hidden="1" x14ac:dyDescent="0.2">
      <c r="A608" s="3" t="s">
        <v>676</v>
      </c>
      <c r="B608" s="6">
        <v>82.8623046875</v>
      </c>
      <c r="C608" s="6">
        <v>73.314398180339694</v>
      </c>
      <c r="D608" s="6">
        <v>29.8300420625004</v>
      </c>
      <c r="E608" s="6">
        <v>31.566119441195401</v>
      </c>
      <c r="F608" s="6">
        <v>0.91552280021557197</v>
      </c>
      <c r="G608" s="6">
        <v>69.700855023149899</v>
      </c>
      <c r="H608" s="6">
        <v>54.567929312713702</v>
      </c>
      <c r="I608" t="str">
        <f t="shared" si="10"/>
        <v>scratches</v>
      </c>
      <c r="J608" t="s">
        <v>982</v>
      </c>
    </row>
    <row r="609" spans="1:10" hidden="1" x14ac:dyDescent="0.2">
      <c r="A609" s="3" t="s">
        <v>677</v>
      </c>
      <c r="B609" s="6">
        <v>70.7783203125</v>
      </c>
      <c r="C609" s="6">
        <v>85.831367192350697</v>
      </c>
      <c r="D609" s="6">
        <v>29.359881854186401</v>
      </c>
      <c r="E609" s="6">
        <v>31.0997806168882</v>
      </c>
      <c r="F609" s="6">
        <v>0.90767961683056397</v>
      </c>
      <c r="G609" s="6">
        <v>68.194091371181599</v>
      </c>
      <c r="H609" s="6">
        <v>52.336915375958398</v>
      </c>
      <c r="I609" t="str">
        <f t="shared" si="10"/>
        <v>scratches</v>
      </c>
      <c r="J609" t="s">
        <v>982</v>
      </c>
    </row>
    <row r="610" spans="1:10" hidden="1" x14ac:dyDescent="0.2">
      <c r="A610" s="3" t="s">
        <v>422</v>
      </c>
      <c r="B610" s="6">
        <v>187.94140625</v>
      </c>
      <c r="C610" s="6">
        <v>32.3239041423316</v>
      </c>
      <c r="D610" s="6">
        <v>37.124672883479498</v>
      </c>
      <c r="E610" s="6">
        <v>42.474304548265103</v>
      </c>
      <c r="F610" s="6">
        <v>0.98956222493708301</v>
      </c>
      <c r="G610" s="6">
        <v>93.332504069715995</v>
      </c>
      <c r="H610" s="6">
        <v>87.303631418749802</v>
      </c>
      <c r="I610" t="str">
        <f t="shared" si="10"/>
        <v>shop</v>
      </c>
      <c r="J610" t="s">
        <v>982</v>
      </c>
    </row>
    <row r="611" spans="1:10" hidden="1" x14ac:dyDescent="0.2">
      <c r="A611" s="3" t="s">
        <v>423</v>
      </c>
      <c r="B611" s="6">
        <v>165.51953125</v>
      </c>
      <c r="C611" s="6">
        <v>36.702617232671699</v>
      </c>
      <c r="D611" s="6">
        <v>36.593526888237299</v>
      </c>
      <c r="E611" s="6">
        <v>41.942928563113597</v>
      </c>
      <c r="F611" s="6">
        <v>0.98868067077688604</v>
      </c>
      <c r="G611" s="6">
        <v>92.285959323149598</v>
      </c>
      <c r="H611" s="6">
        <v>86.747309624189498</v>
      </c>
      <c r="I611" t="str">
        <f t="shared" si="10"/>
        <v>shop</v>
      </c>
      <c r="J611" t="s">
        <v>982</v>
      </c>
    </row>
    <row r="612" spans="1:10" hidden="1" x14ac:dyDescent="0.2">
      <c r="A612" s="3" t="s">
        <v>424</v>
      </c>
      <c r="B612" s="6">
        <v>147</v>
      </c>
      <c r="C612" s="6">
        <v>41.326530612244902</v>
      </c>
      <c r="D612" s="6">
        <v>36.067140242607501</v>
      </c>
      <c r="E612" s="6">
        <v>41.416782665918298</v>
      </c>
      <c r="F612" s="6">
        <v>0.98774548150647201</v>
      </c>
      <c r="G612" s="6">
        <v>91.249124104024901</v>
      </c>
      <c r="H612" s="6">
        <v>86.162737418369304</v>
      </c>
      <c r="I612" t="str">
        <f t="shared" si="10"/>
        <v>shop</v>
      </c>
      <c r="J612" t="s">
        <v>982</v>
      </c>
    </row>
    <row r="613" spans="1:10" hidden="1" x14ac:dyDescent="0.2">
      <c r="A613" s="3" t="s">
        <v>425</v>
      </c>
      <c r="B613" s="6">
        <v>131.30078125</v>
      </c>
      <c r="C613" s="6">
        <v>46.267813048522903</v>
      </c>
      <c r="D613" s="6">
        <v>35.495452876224398</v>
      </c>
      <c r="E613" s="6">
        <v>40.8458347866666</v>
      </c>
      <c r="F613" s="6">
        <v>0.98663438183559105</v>
      </c>
      <c r="G613" s="6">
        <v>90.123094297690997</v>
      </c>
      <c r="H613" s="6">
        <v>85.475619217970902</v>
      </c>
      <c r="I613" t="str">
        <f t="shared" si="10"/>
        <v>shop</v>
      </c>
      <c r="J613" t="s">
        <v>982</v>
      </c>
    </row>
    <row r="614" spans="1:10" hidden="1" x14ac:dyDescent="0.2">
      <c r="A614" s="3" t="s">
        <v>426</v>
      </c>
      <c r="B614" s="6">
        <v>117.888671875</v>
      </c>
      <c r="C614" s="6">
        <v>51.531668848059098</v>
      </c>
      <c r="D614" s="6">
        <v>34.937918178162498</v>
      </c>
      <c r="E614" s="6">
        <v>40.288169330038997</v>
      </c>
      <c r="F614" s="6">
        <v>0.98548401674052699</v>
      </c>
      <c r="G614" s="6">
        <v>89.022012894397506</v>
      </c>
      <c r="H614" s="6">
        <v>84.772605053429302</v>
      </c>
      <c r="I614" t="str">
        <f t="shared" si="10"/>
        <v>shop</v>
      </c>
      <c r="J614" t="s">
        <v>982</v>
      </c>
    </row>
    <row r="615" spans="1:10" hidden="1" x14ac:dyDescent="0.2">
      <c r="A615" s="3" t="s">
        <v>427</v>
      </c>
      <c r="B615" s="6">
        <v>106.4609375</v>
      </c>
      <c r="C615" s="6">
        <v>57.063183385925001</v>
      </c>
      <c r="D615" s="6">
        <v>34.373095874520502</v>
      </c>
      <c r="E615" s="6">
        <v>39.722929915937598</v>
      </c>
      <c r="F615" s="6">
        <v>0.98414591354529002</v>
      </c>
      <c r="G615" s="6">
        <v>87.904243514482005</v>
      </c>
      <c r="H615" s="6">
        <v>83.965457676754099</v>
      </c>
      <c r="I615" t="str">
        <f t="shared" si="10"/>
        <v>shop</v>
      </c>
      <c r="J615" t="s">
        <v>982</v>
      </c>
    </row>
    <row r="616" spans="1:10" hidden="1" x14ac:dyDescent="0.2">
      <c r="A616" s="3" t="s">
        <v>428</v>
      </c>
      <c r="B616" s="6">
        <v>95.673828125</v>
      </c>
      <c r="C616" s="6">
        <v>63.496988874145202</v>
      </c>
      <c r="D616" s="6">
        <v>33.788352259589402</v>
      </c>
      <c r="E616" s="6">
        <v>39.139030827666403</v>
      </c>
      <c r="F616" s="6">
        <v>0.98263043760424396</v>
      </c>
      <c r="G616" s="6">
        <v>86.747041947326196</v>
      </c>
      <c r="H616" s="6">
        <v>83.064887668264902</v>
      </c>
      <c r="I616" t="str">
        <f t="shared" si="10"/>
        <v>shop</v>
      </c>
      <c r="J616" t="s">
        <v>982</v>
      </c>
    </row>
    <row r="617" spans="1:10" hidden="1" x14ac:dyDescent="0.2">
      <c r="A617" s="3" t="s">
        <v>429</v>
      </c>
      <c r="B617" s="6">
        <v>86.5703125</v>
      </c>
      <c r="C617" s="6">
        <v>70.174172006136601</v>
      </c>
      <c r="D617" s="6">
        <v>33.1903529140003</v>
      </c>
      <c r="E617" s="6">
        <v>38.541717568348801</v>
      </c>
      <c r="F617" s="6">
        <v>0.98087433012460401</v>
      </c>
      <c r="G617" s="6">
        <v>85.559549388821296</v>
      </c>
      <c r="H617" s="6">
        <v>82.039055954960304</v>
      </c>
      <c r="I617" t="str">
        <f t="shared" si="10"/>
        <v>shop</v>
      </c>
      <c r="J617" t="s">
        <v>982</v>
      </c>
    </row>
    <row r="618" spans="1:10" hidden="1" x14ac:dyDescent="0.2">
      <c r="A618" s="3" t="s">
        <v>430</v>
      </c>
      <c r="B618" s="6">
        <v>78.1484375</v>
      </c>
      <c r="C618" s="6">
        <v>77.736678996301094</v>
      </c>
      <c r="D618" s="6">
        <v>32.5798196962715</v>
      </c>
      <c r="E618" s="6">
        <v>37.930155527741498</v>
      </c>
      <c r="F618" s="6">
        <v>0.978856722118567</v>
      </c>
      <c r="G618" s="6">
        <v>84.338280986531899</v>
      </c>
      <c r="H618" s="6">
        <v>80.883530151931794</v>
      </c>
      <c r="I618" t="str">
        <f t="shared" si="10"/>
        <v>shop</v>
      </c>
      <c r="J618" t="s">
        <v>982</v>
      </c>
    </row>
    <row r="619" spans="1:10" hidden="1" x14ac:dyDescent="0.2">
      <c r="A619" s="3" t="s">
        <v>431</v>
      </c>
      <c r="B619" s="6">
        <v>70.6025390625</v>
      </c>
      <c r="C619" s="6">
        <v>86.045064110544004</v>
      </c>
      <c r="D619" s="6">
        <v>31.986753230467901</v>
      </c>
      <c r="E619" s="6">
        <v>37.338098735230098</v>
      </c>
      <c r="F619" s="6">
        <v>0.97653818777139501</v>
      </c>
      <c r="G619" s="6">
        <v>83.148594776064797</v>
      </c>
      <c r="H619" s="6">
        <v>79.585452399470796</v>
      </c>
      <c r="I619" t="str">
        <f t="shared" si="10"/>
        <v>shop</v>
      </c>
      <c r="J619" t="s">
        <v>982</v>
      </c>
    </row>
    <row r="620" spans="1:10" hidden="1" x14ac:dyDescent="0.2">
      <c r="A620" s="3" t="s">
        <v>432</v>
      </c>
      <c r="B620" s="6">
        <v>63.173828125</v>
      </c>
      <c r="C620" s="6">
        <v>96.163240068016705</v>
      </c>
      <c r="D620" s="6">
        <v>31.353597120597101</v>
      </c>
      <c r="E620" s="6">
        <v>36.705402137268301</v>
      </c>
      <c r="F620" s="6">
        <v>0.97381338736775702</v>
      </c>
      <c r="G620" s="6">
        <v>81.865937124041906</v>
      </c>
      <c r="H620" s="6">
        <v>78.099626978849301</v>
      </c>
      <c r="I620" t="str">
        <f t="shared" si="10"/>
        <v>shop</v>
      </c>
      <c r="J620" t="s">
        <v>982</v>
      </c>
    </row>
    <row r="621" spans="1:10" hidden="1" x14ac:dyDescent="0.2">
      <c r="A621" s="3" t="s">
        <v>433</v>
      </c>
      <c r="B621" s="6">
        <v>57.0263671875</v>
      </c>
      <c r="C621" s="6">
        <v>106.529668636013</v>
      </c>
      <c r="D621" s="6">
        <v>30.7227092376393</v>
      </c>
      <c r="E621" s="6">
        <v>36.074409525629797</v>
      </c>
      <c r="F621" s="6">
        <v>0.97074609799721501</v>
      </c>
      <c r="G621" s="6">
        <v>80.570277208622201</v>
      </c>
      <c r="H621" s="6">
        <v>76.476904208670703</v>
      </c>
      <c r="I621" t="str">
        <f t="shared" si="10"/>
        <v>shop</v>
      </c>
      <c r="J621" t="s">
        <v>982</v>
      </c>
    </row>
    <row r="622" spans="1:10" hidden="1" x14ac:dyDescent="0.2">
      <c r="A622" s="3" t="s">
        <v>434</v>
      </c>
      <c r="B622" s="6">
        <v>51.01171875</v>
      </c>
      <c r="C622" s="6">
        <v>119.090282563749</v>
      </c>
      <c r="D622" s="6">
        <v>30.066885415861801</v>
      </c>
      <c r="E622" s="6">
        <v>35.420969910512099</v>
      </c>
      <c r="F622" s="6">
        <v>0.96712269219813995</v>
      </c>
      <c r="G622" s="6">
        <v>79.203825780331002</v>
      </c>
      <c r="H622" s="6">
        <v>74.6257409856603</v>
      </c>
      <c r="I622" t="str">
        <f t="shared" si="10"/>
        <v>shop</v>
      </c>
      <c r="J622" t="s">
        <v>982</v>
      </c>
    </row>
    <row r="623" spans="1:10" hidden="1" x14ac:dyDescent="0.2">
      <c r="A623" s="3" t="s">
        <v>435</v>
      </c>
      <c r="B623" s="6">
        <v>45.779296875</v>
      </c>
      <c r="C623" s="6">
        <v>132.701907077947</v>
      </c>
      <c r="D623" s="6">
        <v>29.420696522591001</v>
      </c>
      <c r="E623" s="6">
        <v>34.773947866743001</v>
      </c>
      <c r="F623" s="6">
        <v>0.96335010565114598</v>
      </c>
      <c r="G623" s="6">
        <v>77.815545017748207</v>
      </c>
      <c r="H623" s="6">
        <v>72.771244910018098</v>
      </c>
      <c r="I623" t="str">
        <f t="shared" si="10"/>
        <v>shop</v>
      </c>
      <c r="J623" t="s">
        <v>982</v>
      </c>
    </row>
    <row r="624" spans="1:10" hidden="1" x14ac:dyDescent="0.2">
      <c r="A624" s="3" t="s">
        <v>436</v>
      </c>
      <c r="B624" s="6">
        <v>40.6416015625</v>
      </c>
      <c r="C624" s="6">
        <v>149.47737703342401</v>
      </c>
      <c r="D624" s="6">
        <v>28.778808311962699</v>
      </c>
      <c r="E624" s="6">
        <v>34.134196315275403</v>
      </c>
      <c r="F624" s="6">
        <v>0.95894225484741702</v>
      </c>
      <c r="G624" s="6">
        <v>76.394014814363004</v>
      </c>
      <c r="H624" s="6">
        <v>70.694705863072201</v>
      </c>
      <c r="I624" t="str">
        <f t="shared" si="10"/>
        <v>shop</v>
      </c>
      <c r="J624" t="s">
        <v>982</v>
      </c>
    </row>
    <row r="625" spans="1:10" hidden="1" x14ac:dyDescent="0.2">
      <c r="A625" s="3" t="s">
        <v>437</v>
      </c>
      <c r="B625" s="6">
        <v>36.1845703125</v>
      </c>
      <c r="C625" s="6">
        <v>167.88923973767299</v>
      </c>
      <c r="D625" s="6">
        <v>28.105113380561999</v>
      </c>
      <c r="E625" s="6">
        <v>33.461522097045602</v>
      </c>
      <c r="F625" s="6">
        <v>0.95402839968710995</v>
      </c>
      <c r="G625" s="6">
        <v>74.825492453997896</v>
      </c>
      <c r="H625" s="6">
        <v>68.489074142463807</v>
      </c>
      <c r="I625" t="str">
        <f t="shared" si="10"/>
        <v>shop</v>
      </c>
      <c r="J625" t="s">
        <v>982</v>
      </c>
    </row>
    <row r="626" spans="1:10" hidden="1" x14ac:dyDescent="0.2">
      <c r="A626" s="3" t="s">
        <v>582</v>
      </c>
      <c r="B626" s="6">
        <v>353.841796875</v>
      </c>
      <c r="C626" s="6">
        <v>17.168689662024502</v>
      </c>
      <c r="D626" s="6">
        <v>33.697196942001199</v>
      </c>
      <c r="E626" s="6">
        <v>40.0281358600216</v>
      </c>
      <c r="F626" s="6">
        <v>0.97864693544307102</v>
      </c>
      <c r="G626" s="6">
        <v>88.508044294708398</v>
      </c>
      <c r="H626" s="6">
        <v>80.764776280089293</v>
      </c>
      <c r="I626" t="str">
        <f t="shared" si="10"/>
        <v>street</v>
      </c>
      <c r="J626" t="s">
        <v>982</v>
      </c>
    </row>
    <row r="627" spans="1:10" hidden="1" x14ac:dyDescent="0.2">
      <c r="A627" s="3" t="s">
        <v>583</v>
      </c>
      <c r="B627" s="6">
        <v>316.09765625</v>
      </c>
      <c r="C627" s="6">
        <v>19.2187442073133</v>
      </c>
      <c r="D627" s="6">
        <v>33.032570604084597</v>
      </c>
      <c r="E627" s="6">
        <v>39.3646662179275</v>
      </c>
      <c r="F627" s="6">
        <v>0.97573657883985798</v>
      </c>
      <c r="G627" s="6">
        <v>87.194578835176301</v>
      </c>
      <c r="H627" s="6">
        <v>79.143932634248401</v>
      </c>
      <c r="I627" t="str">
        <f t="shared" si="10"/>
        <v>street</v>
      </c>
      <c r="J627" t="s">
        <v>982</v>
      </c>
    </row>
    <row r="628" spans="1:10" hidden="1" x14ac:dyDescent="0.2">
      <c r="A628" s="3" t="s">
        <v>584</v>
      </c>
      <c r="B628" s="6">
        <v>281.7294921875</v>
      </c>
      <c r="C628" s="6">
        <v>21.563237674658801</v>
      </c>
      <c r="D628" s="6">
        <v>32.362863331649201</v>
      </c>
      <c r="E628" s="6">
        <v>38.694891746590201</v>
      </c>
      <c r="F628" s="6">
        <v>0.972381696417559</v>
      </c>
      <c r="G628" s="6">
        <v>85.864499282473403</v>
      </c>
      <c r="H628" s="6">
        <v>77.335729436376795</v>
      </c>
      <c r="I628" t="str">
        <f t="shared" si="10"/>
        <v>street</v>
      </c>
      <c r="J628" t="s">
        <v>982</v>
      </c>
    </row>
    <row r="629" spans="1:10" hidden="1" x14ac:dyDescent="0.2">
      <c r="A629" s="3" t="s">
        <v>585</v>
      </c>
      <c r="B629" s="6">
        <v>251.5693359375</v>
      </c>
      <c r="C629" s="6">
        <v>24.148412116130402</v>
      </c>
      <c r="D629" s="6">
        <v>31.7134923776836</v>
      </c>
      <c r="E629" s="6">
        <v>38.046256167288199</v>
      </c>
      <c r="F629" s="6">
        <v>0.96872776587547904</v>
      </c>
      <c r="G629" s="6">
        <v>84.570647182323796</v>
      </c>
      <c r="H629" s="6">
        <v>75.437130006093</v>
      </c>
      <c r="I629" t="str">
        <f t="shared" si="10"/>
        <v>street</v>
      </c>
      <c r="J629" t="s">
        <v>982</v>
      </c>
    </row>
    <row r="630" spans="1:10" hidden="1" x14ac:dyDescent="0.2">
      <c r="A630" s="3" t="s">
        <v>586</v>
      </c>
      <c r="B630" s="6">
        <v>223.6865234375</v>
      </c>
      <c r="C630" s="6">
        <v>27.1585427080832</v>
      </c>
      <c r="D630" s="6">
        <v>31.065866840303499</v>
      </c>
      <c r="E630" s="6">
        <v>37.4002931933478</v>
      </c>
      <c r="F630" s="6">
        <v>0.96468688364977995</v>
      </c>
      <c r="G630" s="6">
        <v>83.273988428973595</v>
      </c>
      <c r="H630" s="6">
        <v>73.420047418066602</v>
      </c>
      <c r="I630" t="str">
        <f t="shared" si="10"/>
        <v>street</v>
      </c>
      <c r="J630" t="s">
        <v>982</v>
      </c>
    </row>
    <row r="631" spans="1:10" hidden="1" x14ac:dyDescent="0.2">
      <c r="A631" s="3" t="s">
        <v>587</v>
      </c>
      <c r="B631" s="6">
        <v>199.0029296875</v>
      </c>
      <c r="C631" s="6">
        <v>30.527188768224399</v>
      </c>
      <c r="D631" s="6">
        <v>30.418851024029401</v>
      </c>
      <c r="E631" s="6">
        <v>36.752949748632602</v>
      </c>
      <c r="F631" s="6">
        <v>0.96000429907530105</v>
      </c>
      <c r="G631" s="6">
        <v>81.962832354733195</v>
      </c>
      <c r="H631" s="6">
        <v>71.186371352482595</v>
      </c>
      <c r="I631" t="str">
        <f t="shared" si="10"/>
        <v>street</v>
      </c>
      <c r="J631" t="s">
        <v>982</v>
      </c>
    </row>
    <row r="632" spans="1:10" hidden="1" x14ac:dyDescent="0.2">
      <c r="A632" s="3" t="s">
        <v>588</v>
      </c>
      <c r="B632" s="6">
        <v>176.1123046875</v>
      </c>
      <c r="C632" s="6">
        <v>34.495034351970503</v>
      </c>
      <c r="D632" s="6">
        <v>29.771886582117698</v>
      </c>
      <c r="E632" s="6">
        <v>36.105918729974299</v>
      </c>
      <c r="F632" s="6">
        <v>0.95472613768353298</v>
      </c>
      <c r="G632" s="6">
        <v>80.635463661780193</v>
      </c>
      <c r="H632" s="6">
        <v>68.795460982607906</v>
      </c>
      <c r="I632" t="str">
        <f t="shared" si="10"/>
        <v>street</v>
      </c>
      <c r="J632" t="s">
        <v>982</v>
      </c>
    </row>
    <row r="633" spans="1:10" hidden="1" x14ac:dyDescent="0.2">
      <c r="A633" s="3" t="s">
        <v>589</v>
      </c>
      <c r="B633" s="6">
        <v>155.9873046875</v>
      </c>
      <c r="C633" s="6">
        <v>38.945477083346397</v>
      </c>
      <c r="D633" s="6">
        <v>29.134924375944799</v>
      </c>
      <c r="E633" s="6">
        <v>35.4699949992198</v>
      </c>
      <c r="F633" s="6">
        <v>0.948905021249421</v>
      </c>
      <c r="G633" s="6">
        <v>79.307431571364503</v>
      </c>
      <c r="H633" s="6">
        <v>66.305769409468695</v>
      </c>
      <c r="I633" t="str">
        <f t="shared" si="10"/>
        <v>street</v>
      </c>
      <c r="J633" t="s">
        <v>982</v>
      </c>
    </row>
    <row r="634" spans="1:10" hidden="1" x14ac:dyDescent="0.2">
      <c r="A634" s="3" t="s">
        <v>590</v>
      </c>
      <c r="B634" s="6">
        <v>137.16796875</v>
      </c>
      <c r="C634" s="6">
        <v>44.288765484835501</v>
      </c>
      <c r="D634" s="6">
        <v>28.498138617176298</v>
      </c>
      <c r="E634" s="6">
        <v>34.833390150108102</v>
      </c>
      <c r="F634" s="6">
        <v>0.94243799934833705</v>
      </c>
      <c r="G634" s="6">
        <v>77.944904931836504</v>
      </c>
      <c r="H634" s="6">
        <v>63.709522178745601</v>
      </c>
      <c r="I634" t="str">
        <f t="shared" si="10"/>
        <v>street</v>
      </c>
      <c r="J634" t="s">
        <v>982</v>
      </c>
    </row>
    <row r="635" spans="1:10" hidden="1" x14ac:dyDescent="0.2">
      <c r="A635" s="3" t="s">
        <v>591</v>
      </c>
      <c r="B635" s="6">
        <v>120.349609375</v>
      </c>
      <c r="C635" s="6">
        <v>50.477936999951297</v>
      </c>
      <c r="D635" s="6">
        <v>27.870211940252499</v>
      </c>
      <c r="E635" s="6">
        <v>34.207615107496601</v>
      </c>
      <c r="F635" s="6">
        <v>0.93511326715946297</v>
      </c>
      <c r="G635" s="6">
        <v>76.560188034110993</v>
      </c>
      <c r="H635" s="6">
        <v>60.969601219804197</v>
      </c>
      <c r="I635" t="str">
        <f t="shared" si="10"/>
        <v>street</v>
      </c>
      <c r="J635" t="s">
        <v>982</v>
      </c>
    </row>
    <row r="636" spans="1:10" hidden="1" x14ac:dyDescent="0.2">
      <c r="A636" s="3" t="s">
        <v>592</v>
      </c>
      <c r="B636" s="6">
        <v>105.7373046875</v>
      </c>
      <c r="C636" s="6">
        <v>57.453705841606997</v>
      </c>
      <c r="D636" s="6">
        <v>27.270969957450902</v>
      </c>
      <c r="E636" s="6">
        <v>33.6087834542829</v>
      </c>
      <c r="F636" s="6">
        <v>0.92733419061855005</v>
      </c>
      <c r="G636" s="6">
        <v>75.176717103960797</v>
      </c>
      <c r="H636" s="6">
        <v>58.275164021504203</v>
      </c>
      <c r="I636" t="str">
        <f t="shared" si="10"/>
        <v>street</v>
      </c>
      <c r="J636" t="s">
        <v>982</v>
      </c>
    </row>
    <row r="637" spans="1:10" hidden="1" x14ac:dyDescent="0.2">
      <c r="A637" s="3" t="s">
        <v>593</v>
      </c>
      <c r="B637" s="6">
        <v>92.3486328125</v>
      </c>
      <c r="C637" s="6">
        <v>65.783323639824502</v>
      </c>
      <c r="D637" s="6">
        <v>26.673396756230499</v>
      </c>
      <c r="E637" s="6">
        <v>33.012430554698099</v>
      </c>
      <c r="F637" s="6">
        <v>0.91870053184026201</v>
      </c>
      <c r="G637" s="6">
        <v>73.7217013360397</v>
      </c>
      <c r="H637" s="6">
        <v>55.5225491015917</v>
      </c>
      <c r="I637" t="str">
        <f t="shared" si="10"/>
        <v>street</v>
      </c>
      <c r="J637" t="s">
        <v>982</v>
      </c>
    </row>
    <row r="638" spans="1:10" hidden="1" x14ac:dyDescent="0.2">
      <c r="A638" s="3" t="s">
        <v>594</v>
      </c>
      <c r="B638" s="6">
        <v>80.623046875</v>
      </c>
      <c r="C638" s="6">
        <v>75.350662564500098</v>
      </c>
      <c r="D638" s="6">
        <v>26.103769493660401</v>
      </c>
      <c r="E638" s="6">
        <v>32.444578571680402</v>
      </c>
      <c r="F638" s="6">
        <v>0.90920467987897302</v>
      </c>
      <c r="G638" s="6">
        <v>72.240902983525899</v>
      </c>
      <c r="H638" s="6">
        <v>52.757265597016598</v>
      </c>
      <c r="I638" t="str">
        <f t="shared" si="10"/>
        <v>street</v>
      </c>
      <c r="J638" t="s">
        <v>982</v>
      </c>
    </row>
    <row r="639" spans="1:10" hidden="1" x14ac:dyDescent="0.2">
      <c r="A639" s="3" t="s">
        <v>595</v>
      </c>
      <c r="B639" s="6">
        <v>70.466796875</v>
      </c>
      <c r="C639" s="6">
        <v>86.210815155630698</v>
      </c>
      <c r="D639" s="6">
        <v>25.532763061987499</v>
      </c>
      <c r="E639" s="6">
        <v>31.875962130961</v>
      </c>
      <c r="F639" s="6">
        <v>0.89899158657918699</v>
      </c>
      <c r="G639" s="6">
        <v>70.637043622268607</v>
      </c>
      <c r="H639" s="6">
        <v>50.058690338183403</v>
      </c>
      <c r="I639" t="str">
        <f t="shared" si="10"/>
        <v>street</v>
      </c>
      <c r="J639" t="s">
        <v>982</v>
      </c>
    </row>
    <row r="640" spans="1:10" hidden="1" x14ac:dyDescent="0.2">
      <c r="A640" s="3" t="s">
        <v>596</v>
      </c>
      <c r="B640" s="6">
        <v>61.2919921875</v>
      </c>
      <c r="C640" s="6">
        <v>99.115721045839095</v>
      </c>
      <c r="D640" s="6">
        <v>24.981431866409899</v>
      </c>
      <c r="E640" s="6">
        <v>31.326549462845801</v>
      </c>
      <c r="F640" s="6">
        <v>0.88853269159863002</v>
      </c>
      <c r="G640" s="6">
        <v>68.942389672392196</v>
      </c>
      <c r="H640" s="6">
        <v>47.559239758569703</v>
      </c>
      <c r="I640" t="str">
        <f t="shared" si="10"/>
        <v>street</v>
      </c>
      <c r="J640" t="s">
        <v>982</v>
      </c>
    </row>
    <row r="641" spans="1:10" hidden="1" x14ac:dyDescent="0.2">
      <c r="A641" s="3" t="s">
        <v>597</v>
      </c>
      <c r="B641" s="6">
        <v>53.0517578125</v>
      </c>
      <c r="C641" s="6">
        <v>114.51081454210799</v>
      </c>
      <c r="D641" s="6">
        <v>24.461819077648698</v>
      </c>
      <c r="E641" s="6">
        <v>30.805136381720999</v>
      </c>
      <c r="F641" s="6">
        <v>0.87691613702073201</v>
      </c>
      <c r="G641" s="6">
        <v>67.174159998269104</v>
      </c>
      <c r="H641" s="6">
        <v>45.0601953187806</v>
      </c>
      <c r="I641" t="str">
        <f t="shared" si="10"/>
        <v>street</v>
      </c>
      <c r="J641" t="s">
        <v>982</v>
      </c>
    </row>
    <row r="642" spans="1:10" hidden="1" x14ac:dyDescent="0.2">
      <c r="A642" s="3" t="s">
        <v>598</v>
      </c>
      <c r="B642" s="6">
        <v>150.5966796875</v>
      </c>
      <c r="C642" s="6">
        <v>40.339534793237803</v>
      </c>
      <c r="D642" s="6">
        <v>35.982793580937397</v>
      </c>
      <c r="E642" s="6">
        <v>44.051682599301898</v>
      </c>
      <c r="F642" s="6">
        <v>0.98392109501229397</v>
      </c>
      <c r="G642" s="6">
        <v>96.436954349758594</v>
      </c>
      <c r="H642" s="6">
        <v>83.830954112649593</v>
      </c>
      <c r="I642" t="str">
        <f t="shared" si="10"/>
        <v>tatemono</v>
      </c>
      <c r="J642" t="s">
        <v>982</v>
      </c>
    </row>
    <row r="643" spans="1:10" hidden="1" x14ac:dyDescent="0.2">
      <c r="A643" s="3" t="s">
        <v>599</v>
      </c>
      <c r="B643" s="6">
        <v>132.73046875</v>
      </c>
      <c r="C643" s="6">
        <v>45.7694458341917</v>
      </c>
      <c r="D643" s="6">
        <v>35.406309210059703</v>
      </c>
      <c r="E643" s="6">
        <v>43.475306829329703</v>
      </c>
      <c r="F643" s="6">
        <v>0.98257654748904999</v>
      </c>
      <c r="G643" s="6">
        <v>95.302865382353005</v>
      </c>
      <c r="H643" s="6">
        <v>83.033126152388803</v>
      </c>
      <c r="I643" t="str">
        <f t="shared" si="10"/>
        <v>tatemono</v>
      </c>
      <c r="J643" t="s">
        <v>982</v>
      </c>
    </row>
    <row r="644" spans="1:10" hidden="1" x14ac:dyDescent="0.2">
      <c r="A644" s="3" t="s">
        <v>600</v>
      </c>
      <c r="B644" s="6">
        <v>117.359375</v>
      </c>
      <c r="C644" s="6">
        <v>51.764079350286202</v>
      </c>
      <c r="D644" s="6">
        <v>34.832196842188601</v>
      </c>
      <c r="E644" s="6">
        <v>42.901774469008998</v>
      </c>
      <c r="F644" s="6">
        <v>0.98093321591338201</v>
      </c>
      <c r="G644" s="6">
        <v>94.174077744721203</v>
      </c>
      <c r="H644" s="6">
        <v>82.073149177814898</v>
      </c>
      <c r="I644" t="str">
        <f t="shared" si="10"/>
        <v>tatemono</v>
      </c>
      <c r="J644" t="s">
        <v>982</v>
      </c>
    </row>
    <row r="645" spans="1:10" hidden="1" x14ac:dyDescent="0.2">
      <c r="A645" s="3" t="s">
        <v>601</v>
      </c>
      <c r="B645" s="6">
        <v>104.078125</v>
      </c>
      <c r="C645" s="6">
        <v>58.369614172046198</v>
      </c>
      <c r="D645" s="6">
        <v>34.246641973309501</v>
      </c>
      <c r="E645" s="6">
        <v>42.316447475491401</v>
      </c>
      <c r="F645" s="6">
        <v>0.97933015889728803</v>
      </c>
      <c r="G645" s="6">
        <v>93.021657164952103</v>
      </c>
      <c r="H645" s="6">
        <v>81.152488873500303</v>
      </c>
      <c r="I645" t="str">
        <f t="shared" si="10"/>
        <v>tatemono</v>
      </c>
      <c r="J645" t="s">
        <v>982</v>
      </c>
    </row>
    <row r="646" spans="1:10" hidden="1" x14ac:dyDescent="0.2">
      <c r="A646" s="3" t="s">
        <v>602</v>
      </c>
      <c r="B646" s="6">
        <v>92.5078125</v>
      </c>
      <c r="C646" s="6">
        <v>65.670129212059805</v>
      </c>
      <c r="D646" s="6">
        <v>33.637547557722598</v>
      </c>
      <c r="E646" s="6">
        <v>41.708741629792698</v>
      </c>
      <c r="F646" s="6">
        <v>0.97737754533923105</v>
      </c>
      <c r="G646" s="6">
        <v>91.824548676860601</v>
      </c>
      <c r="H646" s="6">
        <v>80.051749915211303</v>
      </c>
      <c r="I646" t="str">
        <f t="shared" si="10"/>
        <v>tatemono</v>
      </c>
      <c r="J646" t="s">
        <v>982</v>
      </c>
    </row>
    <row r="647" spans="1:10" hidden="1" x14ac:dyDescent="0.2">
      <c r="A647" s="3" t="s">
        <v>603</v>
      </c>
      <c r="B647" s="6">
        <v>82.2685546875</v>
      </c>
      <c r="C647" s="6">
        <v>73.843524091022402</v>
      </c>
      <c r="D647" s="6">
        <v>33.077379671083897</v>
      </c>
      <c r="E647" s="6">
        <v>41.148073449260302</v>
      </c>
      <c r="F647" s="6">
        <v>0.97511753193641304</v>
      </c>
      <c r="G647" s="6">
        <v>90.719308657511206</v>
      </c>
      <c r="H647" s="6">
        <v>78.805491141323301</v>
      </c>
      <c r="I647" t="str">
        <f t="shared" si="10"/>
        <v>tatemono</v>
      </c>
      <c r="J647" t="s">
        <v>982</v>
      </c>
    </row>
    <row r="648" spans="1:10" hidden="1" x14ac:dyDescent="0.2">
      <c r="A648" s="3" t="s">
        <v>604</v>
      </c>
      <c r="B648" s="6">
        <v>73.33203125</v>
      </c>
      <c r="C648" s="6">
        <v>82.842380013849706</v>
      </c>
      <c r="D648" s="6">
        <v>32.509008892845102</v>
      </c>
      <c r="E648" s="6">
        <v>40.579717017120203</v>
      </c>
      <c r="F648" s="6">
        <v>0.97277022608677099</v>
      </c>
      <c r="G648" s="6">
        <v>89.597837648204901</v>
      </c>
      <c r="H648" s="6">
        <v>77.541905853448995</v>
      </c>
      <c r="I648" t="str">
        <f t="shared" si="10"/>
        <v>tatemono</v>
      </c>
      <c r="J648" t="s">
        <v>982</v>
      </c>
    </row>
    <row r="649" spans="1:10" hidden="1" x14ac:dyDescent="0.2">
      <c r="A649" s="3" t="s">
        <v>605</v>
      </c>
      <c r="B649" s="6">
        <v>65.45703125</v>
      </c>
      <c r="C649" s="6">
        <v>92.808975353583605</v>
      </c>
      <c r="D649" s="6">
        <v>31.895393064016702</v>
      </c>
      <c r="E649" s="6">
        <v>39.966757924342403</v>
      </c>
      <c r="F649" s="6">
        <v>0.97000944472815398</v>
      </c>
      <c r="G649" s="6">
        <v>88.386668260035805</v>
      </c>
      <c r="H649" s="6">
        <v>76.094865335027606</v>
      </c>
      <c r="I649" t="str">
        <f t="shared" si="10"/>
        <v>tatemono</v>
      </c>
      <c r="J649" t="s">
        <v>982</v>
      </c>
    </row>
    <row r="650" spans="1:10" hidden="1" x14ac:dyDescent="0.2">
      <c r="A650" s="3" t="s">
        <v>606</v>
      </c>
      <c r="B650" s="6">
        <v>58.9140625</v>
      </c>
      <c r="C650" s="6">
        <v>103.116297573266</v>
      </c>
      <c r="D650" s="6">
        <v>31.298036361681199</v>
      </c>
      <c r="E650" s="6">
        <v>39.370586266149601</v>
      </c>
      <c r="F650" s="6">
        <v>0.967230613648</v>
      </c>
      <c r="G650" s="6">
        <v>87.206314434362099</v>
      </c>
      <c r="H650" s="6">
        <v>74.679872055283596</v>
      </c>
      <c r="I650" t="str">
        <f t="shared" si="10"/>
        <v>tatemono</v>
      </c>
      <c r="J650" t="s">
        <v>982</v>
      </c>
    </row>
    <row r="651" spans="1:10" hidden="1" x14ac:dyDescent="0.2">
      <c r="A651" s="3" t="s">
        <v>607</v>
      </c>
      <c r="B651" s="6">
        <v>52.8515625</v>
      </c>
      <c r="C651" s="6">
        <v>114.944567627494</v>
      </c>
      <c r="D651" s="6">
        <v>30.7088562396066</v>
      </c>
      <c r="E651" s="6">
        <v>38.782827004370702</v>
      </c>
      <c r="F651" s="6">
        <v>0.96375309739363202</v>
      </c>
      <c r="G651" s="6">
        <v>86.039423621097598</v>
      </c>
      <c r="H651" s="6">
        <v>72.965886402044404</v>
      </c>
      <c r="I651" t="str">
        <f t="shared" si="10"/>
        <v>tatemono</v>
      </c>
      <c r="J651" t="s">
        <v>982</v>
      </c>
    </row>
    <row r="652" spans="1:10" hidden="1" x14ac:dyDescent="0.2">
      <c r="A652" s="3" t="s">
        <v>608</v>
      </c>
      <c r="B652" s="6">
        <v>47.1259765625</v>
      </c>
      <c r="C652" s="6">
        <v>128.909795470087</v>
      </c>
      <c r="D652" s="6">
        <v>30.117461951750499</v>
      </c>
      <c r="E652" s="6">
        <v>38.191801518549802</v>
      </c>
      <c r="F652" s="6">
        <v>0.96044220911441902</v>
      </c>
      <c r="G652" s="6">
        <v>84.861579774538697</v>
      </c>
      <c r="H652" s="6">
        <v>71.390683057100006</v>
      </c>
      <c r="I652" t="str">
        <f t="shared" si="10"/>
        <v>tatemono</v>
      </c>
      <c r="J652" t="s">
        <v>982</v>
      </c>
    </row>
    <row r="653" spans="1:10" hidden="1" x14ac:dyDescent="0.2">
      <c r="A653" s="3" t="s">
        <v>609</v>
      </c>
      <c r="B653" s="6">
        <v>42.4697265625</v>
      </c>
      <c r="C653" s="6">
        <v>143.04306836211501</v>
      </c>
      <c r="D653" s="6">
        <v>29.518201571166099</v>
      </c>
      <c r="E653" s="6">
        <v>37.593169778263501</v>
      </c>
      <c r="F653" s="6">
        <v>0.95632979333510704</v>
      </c>
      <c r="G653" s="6">
        <v>83.662192154809603</v>
      </c>
      <c r="H653" s="6">
        <v>69.5080982905572</v>
      </c>
      <c r="I653" t="str">
        <f t="shared" si="10"/>
        <v>tatemono</v>
      </c>
      <c r="J653" t="s">
        <v>982</v>
      </c>
    </row>
    <row r="654" spans="1:10" hidden="1" x14ac:dyDescent="0.2">
      <c r="A654" s="3" t="s">
        <v>610</v>
      </c>
      <c r="B654" s="6">
        <v>38.068359375</v>
      </c>
      <c r="C654" s="6">
        <v>159.58134523626299</v>
      </c>
      <c r="D654" s="6">
        <v>28.939566502349098</v>
      </c>
      <c r="E654" s="6">
        <v>37.0148888216507</v>
      </c>
      <c r="F654" s="6">
        <v>0.95182286247632997</v>
      </c>
      <c r="G654" s="6">
        <v>82.495075274018106</v>
      </c>
      <c r="H654" s="6">
        <v>67.535009494825502</v>
      </c>
      <c r="I654" t="str">
        <f t="shared" si="10"/>
        <v>tatemono</v>
      </c>
      <c r="J654" t="s">
        <v>982</v>
      </c>
    </row>
    <row r="655" spans="1:10" hidden="1" x14ac:dyDescent="0.2">
      <c r="A655" s="3" t="s">
        <v>611</v>
      </c>
      <c r="B655" s="6">
        <v>34.326171875</v>
      </c>
      <c r="C655" s="6">
        <v>176.9786628734</v>
      </c>
      <c r="D655" s="6">
        <v>28.322715987225902</v>
      </c>
      <c r="E655" s="6">
        <v>36.400232990488199</v>
      </c>
      <c r="F655" s="6">
        <v>0.94730251837304302</v>
      </c>
      <c r="G655" s="6">
        <v>81.241736185552398</v>
      </c>
      <c r="H655" s="6">
        <v>65.646236663907104</v>
      </c>
      <c r="I655" t="str">
        <f t="shared" si="10"/>
        <v>tatemono</v>
      </c>
      <c r="J655" t="s">
        <v>982</v>
      </c>
    </row>
    <row r="656" spans="1:10" hidden="1" x14ac:dyDescent="0.2">
      <c r="A656" s="3" t="s">
        <v>612</v>
      </c>
      <c r="B656" s="6">
        <v>30.984375</v>
      </c>
      <c r="C656" s="6">
        <v>196.06656580937999</v>
      </c>
      <c r="D656" s="6">
        <v>27.761215403651899</v>
      </c>
      <c r="E656" s="6">
        <v>35.836708386955401</v>
      </c>
      <c r="F656" s="6">
        <v>0.94226021877205501</v>
      </c>
      <c r="G656" s="6">
        <v>80.076590151851605</v>
      </c>
      <c r="H656" s="6">
        <v>63.640559107329601</v>
      </c>
      <c r="I656" t="str">
        <f t="shared" si="10"/>
        <v>tatemono</v>
      </c>
      <c r="J656" t="s">
        <v>982</v>
      </c>
    </row>
    <row r="657" spans="1:10" hidden="1" x14ac:dyDescent="0.2">
      <c r="A657" s="3" t="s">
        <v>613</v>
      </c>
      <c r="B657" s="6">
        <v>27.94140625</v>
      </c>
      <c r="C657" s="6">
        <v>217.41926464420499</v>
      </c>
      <c r="D657" s="6">
        <v>27.182720469186702</v>
      </c>
      <c r="E657" s="6">
        <v>35.2636312619831</v>
      </c>
      <c r="F657" s="6">
        <v>0.93645021633654302</v>
      </c>
      <c r="G657" s="6">
        <v>78.869943092543494</v>
      </c>
      <c r="H657" s="6">
        <v>61.454527514092902</v>
      </c>
      <c r="I657" t="str">
        <f t="shared" si="10"/>
        <v>tatemono</v>
      </c>
      <c r="J657" t="s">
        <v>982</v>
      </c>
    </row>
    <row r="658" spans="1:10" hidden="1" x14ac:dyDescent="0.2">
      <c r="A658" s="3" t="s">
        <v>614</v>
      </c>
      <c r="B658" s="6">
        <v>167.9833984375</v>
      </c>
      <c r="C658" s="6">
        <v>36.164287998139699</v>
      </c>
      <c r="D658" s="6">
        <v>38.958718998779403</v>
      </c>
      <c r="E658" s="6">
        <v>43.609163330608901</v>
      </c>
      <c r="F658" s="6">
        <v>0.987989836018621</v>
      </c>
      <c r="G658" s="6">
        <v>95.566267115560805</v>
      </c>
      <c r="H658" s="6">
        <v>86.314926585742299</v>
      </c>
      <c r="I658" t="str">
        <f t="shared" si="10"/>
        <v>wedding</v>
      </c>
      <c r="J658" t="s">
        <v>982</v>
      </c>
    </row>
    <row r="659" spans="1:10" hidden="1" x14ac:dyDescent="0.2">
      <c r="A659" s="3" t="s">
        <v>615</v>
      </c>
      <c r="B659" s="6">
        <v>144.0634765625</v>
      </c>
      <c r="C659" s="6">
        <v>42.168911544796998</v>
      </c>
      <c r="D659" s="6">
        <v>38.4634922851832</v>
      </c>
      <c r="E659" s="6">
        <v>43.113872295789101</v>
      </c>
      <c r="F659" s="6">
        <v>0.98669811061659596</v>
      </c>
      <c r="G659" s="6">
        <v>94.591554835788898</v>
      </c>
      <c r="H659" s="6">
        <v>85.514813812498204</v>
      </c>
      <c r="I659" t="str">
        <f t="shared" ref="I659:I673" si="11">MID(A659,1,(FIND("yuv",A659))-1)</f>
        <v>wedding</v>
      </c>
      <c r="J659" t="s">
        <v>982</v>
      </c>
    </row>
    <row r="660" spans="1:10" hidden="1" x14ac:dyDescent="0.2">
      <c r="A660" s="3" t="s">
        <v>616</v>
      </c>
      <c r="B660" s="6">
        <v>124.736328125</v>
      </c>
      <c r="C660" s="6">
        <v>48.702732326000202</v>
      </c>
      <c r="D660" s="6">
        <v>37.954803409072397</v>
      </c>
      <c r="E660" s="6">
        <v>42.6051812916863</v>
      </c>
      <c r="F660" s="6">
        <v>0.98523816878838499</v>
      </c>
      <c r="G660" s="6">
        <v>93.590192561551603</v>
      </c>
      <c r="H660" s="6">
        <v>84.623458516194901</v>
      </c>
      <c r="I660" t="str">
        <f t="shared" si="11"/>
        <v>wedding</v>
      </c>
      <c r="J660" t="s">
        <v>982</v>
      </c>
    </row>
    <row r="661" spans="1:10" hidden="1" x14ac:dyDescent="0.2">
      <c r="A661" s="3" t="s">
        <v>617</v>
      </c>
      <c r="B661" s="6">
        <v>108.7744140625</v>
      </c>
      <c r="C661" s="6">
        <v>55.849530906315898</v>
      </c>
      <c r="D661" s="6">
        <v>37.454253936028003</v>
      </c>
      <c r="E661" s="6">
        <v>42.104557552584502</v>
      </c>
      <c r="F661" s="6">
        <v>0.98365597657660997</v>
      </c>
      <c r="G661" s="6">
        <v>92.604342957252001</v>
      </c>
      <c r="H661" s="6">
        <v>83.672746852576395</v>
      </c>
      <c r="I661" t="str">
        <f t="shared" si="11"/>
        <v>wedding</v>
      </c>
      <c r="J661" t="s">
        <v>982</v>
      </c>
    </row>
    <row r="662" spans="1:10" hidden="1" x14ac:dyDescent="0.2">
      <c r="A662" s="3" t="s">
        <v>618</v>
      </c>
      <c r="B662" s="6">
        <v>95.18359375</v>
      </c>
      <c r="C662" s="6">
        <v>63.824024295153301</v>
      </c>
      <c r="D662" s="6">
        <v>36.955703171480401</v>
      </c>
      <c r="E662" s="6">
        <v>41.606250967294301</v>
      </c>
      <c r="F662" s="6">
        <v>0.98182880902621394</v>
      </c>
      <c r="G662" s="6">
        <v>91.622574150562102</v>
      </c>
      <c r="H662" s="6">
        <v>82.594273437458199</v>
      </c>
      <c r="I662" t="str">
        <f t="shared" si="11"/>
        <v>wedding</v>
      </c>
      <c r="J662" t="s">
        <v>982</v>
      </c>
    </row>
    <row r="663" spans="1:10" hidden="1" x14ac:dyDescent="0.2">
      <c r="A663" s="3" t="s">
        <v>619</v>
      </c>
      <c r="B663" s="6">
        <v>83.6640625</v>
      </c>
      <c r="C663" s="6">
        <v>72.6118218321038</v>
      </c>
      <c r="D663" s="6">
        <v>36.443452609230498</v>
      </c>
      <c r="E663" s="6">
        <v>41.094632773276402</v>
      </c>
      <c r="F663" s="6">
        <v>0.97981183628586099</v>
      </c>
      <c r="G663" s="6">
        <v>90.613911942473294</v>
      </c>
      <c r="H663" s="6">
        <v>81.427500925886307</v>
      </c>
      <c r="I663" t="str">
        <f t="shared" si="11"/>
        <v>wedding</v>
      </c>
      <c r="J663" t="s">
        <v>982</v>
      </c>
    </row>
    <row r="664" spans="1:10" hidden="1" x14ac:dyDescent="0.2">
      <c r="A664" s="3" t="s">
        <v>620</v>
      </c>
      <c r="B664" s="6">
        <v>73.51171875</v>
      </c>
      <c r="C664" s="6">
        <v>82.639885222381594</v>
      </c>
      <c r="D664" s="6">
        <v>35.939902416109703</v>
      </c>
      <c r="E664" s="6">
        <v>40.5909235214652</v>
      </c>
      <c r="F664" s="6">
        <v>0.97752386839670802</v>
      </c>
      <c r="G664" s="6">
        <v>89.619962983405301</v>
      </c>
      <c r="H664" s="6">
        <v>80.133458451876095</v>
      </c>
      <c r="I664" t="str">
        <f t="shared" si="11"/>
        <v>wedding</v>
      </c>
      <c r="J664" t="s">
        <v>982</v>
      </c>
    </row>
    <row r="665" spans="1:10" hidden="1" x14ac:dyDescent="0.2">
      <c r="A665" s="3" t="s">
        <v>621</v>
      </c>
      <c r="B665" s="6">
        <v>64.5849609375</v>
      </c>
      <c r="C665" s="6">
        <v>94.062145611249704</v>
      </c>
      <c r="D665" s="6">
        <v>35.441148161475702</v>
      </c>
      <c r="E665" s="6">
        <v>40.092160931785799</v>
      </c>
      <c r="F665" s="6">
        <v>0.97497691660057395</v>
      </c>
      <c r="G665" s="6">
        <v>88.634629931719601</v>
      </c>
      <c r="H665" s="6">
        <v>78.728919717686495</v>
      </c>
      <c r="I665" t="str">
        <f t="shared" si="11"/>
        <v>wedding</v>
      </c>
      <c r="J665" t="s">
        <v>982</v>
      </c>
    </row>
    <row r="666" spans="1:10" hidden="1" x14ac:dyDescent="0.2">
      <c r="A666" s="3" t="s">
        <v>622</v>
      </c>
      <c r="B666" s="6">
        <v>56.8935546875</v>
      </c>
      <c r="C666" s="6">
        <v>106.778351842634</v>
      </c>
      <c r="D666" s="6">
        <v>34.9452566909073</v>
      </c>
      <c r="E666" s="6">
        <v>39.596708163611297</v>
      </c>
      <c r="F666" s="6">
        <v>0.97225689408491101</v>
      </c>
      <c r="G666" s="6">
        <v>87.6543376160229</v>
      </c>
      <c r="H666" s="6">
        <v>77.269679479957603</v>
      </c>
      <c r="I666" t="str">
        <f t="shared" si="11"/>
        <v>wedding</v>
      </c>
      <c r="J666" t="s">
        <v>982</v>
      </c>
    </row>
    <row r="667" spans="1:10" hidden="1" x14ac:dyDescent="0.2">
      <c r="A667" s="3" t="s">
        <v>623</v>
      </c>
      <c r="B667" s="6">
        <v>50.0576171875</v>
      </c>
      <c r="C667" s="6">
        <v>121.360151388049</v>
      </c>
      <c r="D667" s="6">
        <v>34.4590800197075</v>
      </c>
      <c r="E667" s="6">
        <v>39.110717305181602</v>
      </c>
      <c r="F667" s="6">
        <v>0.96944080742632399</v>
      </c>
      <c r="G667" s="6">
        <v>86.690847466729196</v>
      </c>
      <c r="H667" s="6">
        <v>75.801964540166196</v>
      </c>
      <c r="I667" t="str">
        <f t="shared" si="11"/>
        <v>wedding</v>
      </c>
      <c r="J667" t="s">
        <v>982</v>
      </c>
    </row>
    <row r="668" spans="1:10" hidden="1" x14ac:dyDescent="0.2">
      <c r="A668" s="3" t="s">
        <v>624</v>
      </c>
      <c r="B668" s="6">
        <v>43.966796875</v>
      </c>
      <c r="C668" s="6">
        <v>138.17244902492101</v>
      </c>
      <c r="D668" s="6">
        <v>33.960060847701698</v>
      </c>
      <c r="E668" s="6">
        <v>38.611764744738799</v>
      </c>
      <c r="F668" s="6">
        <v>0.96642518919840104</v>
      </c>
      <c r="G668" s="6">
        <v>85.699044865073304</v>
      </c>
      <c r="H668" s="6">
        <v>74.277353445052299</v>
      </c>
      <c r="I668" t="str">
        <f t="shared" si="11"/>
        <v>wedding</v>
      </c>
      <c r="J668" t="s">
        <v>982</v>
      </c>
    </row>
    <row r="669" spans="1:10" hidden="1" x14ac:dyDescent="0.2">
      <c r="A669" s="3" t="s">
        <v>625</v>
      </c>
      <c r="B669" s="6">
        <v>38.83203125</v>
      </c>
      <c r="C669" s="6">
        <v>156.44301378130999</v>
      </c>
      <c r="D669" s="6">
        <v>33.490243200566901</v>
      </c>
      <c r="E669" s="6">
        <v>38.142499525016802</v>
      </c>
      <c r="F669" s="6">
        <v>0.96337564842781698</v>
      </c>
      <c r="G669" s="6">
        <v>84.763073013806505</v>
      </c>
      <c r="H669" s="6">
        <v>72.783557631481003</v>
      </c>
      <c r="I669" t="str">
        <f t="shared" si="11"/>
        <v>wedding</v>
      </c>
      <c r="J669" t="s">
        <v>982</v>
      </c>
    </row>
    <row r="670" spans="1:10" hidden="1" x14ac:dyDescent="0.2">
      <c r="A670" s="3" t="s">
        <v>626</v>
      </c>
      <c r="B670" s="6">
        <v>34.2001953125</v>
      </c>
      <c r="C670" s="6">
        <v>177.63056451843201</v>
      </c>
      <c r="D670" s="6">
        <v>32.997525948865899</v>
      </c>
      <c r="E670" s="6">
        <v>37.650525075249803</v>
      </c>
      <c r="F670" s="6">
        <v>0.96014753683319698</v>
      </c>
      <c r="G670" s="6">
        <v>83.777448408827397</v>
      </c>
      <c r="H670" s="6">
        <v>71.253098223451602</v>
      </c>
      <c r="I670" t="str">
        <f t="shared" si="11"/>
        <v>wedding</v>
      </c>
      <c r="J670" t="s">
        <v>982</v>
      </c>
    </row>
    <row r="671" spans="1:10" hidden="1" x14ac:dyDescent="0.2">
      <c r="A671" s="3" t="s">
        <v>627</v>
      </c>
      <c r="B671" s="6">
        <v>30.3388671875</v>
      </c>
      <c r="C671" s="6">
        <v>200.238194869154</v>
      </c>
      <c r="D671" s="6">
        <v>32.545193413873299</v>
      </c>
      <c r="E671" s="6">
        <v>37.197120523678798</v>
      </c>
      <c r="F671" s="6">
        <v>0.95680214707163003</v>
      </c>
      <c r="G671" s="6">
        <v>82.863943803159103</v>
      </c>
      <c r="H671" s="6">
        <v>69.720272094119807</v>
      </c>
      <c r="I671" t="str">
        <f t="shared" si="11"/>
        <v>wedding</v>
      </c>
      <c r="J671" t="s">
        <v>982</v>
      </c>
    </row>
    <row r="672" spans="1:10" hidden="1" x14ac:dyDescent="0.2">
      <c r="A672" s="3" t="s">
        <v>628</v>
      </c>
      <c r="B672" s="6">
        <v>26.80078125</v>
      </c>
      <c r="C672" s="6">
        <v>226.67249672059501</v>
      </c>
      <c r="D672" s="6">
        <v>32.079994965244303</v>
      </c>
      <c r="E672" s="6">
        <v>36.733378517366901</v>
      </c>
      <c r="F672" s="6">
        <v>0.95334154762203505</v>
      </c>
      <c r="G672" s="6">
        <v>81.922960019312896</v>
      </c>
      <c r="H672" s="6">
        <v>68.189620845857704</v>
      </c>
      <c r="I672" t="str">
        <f t="shared" si="11"/>
        <v>wedding</v>
      </c>
      <c r="J672" t="s">
        <v>982</v>
      </c>
    </row>
    <row r="673" spans="1:10" hidden="1" x14ac:dyDescent="0.2">
      <c r="A673" s="3" t="s">
        <v>629</v>
      </c>
      <c r="B673" s="6">
        <v>23.890625</v>
      </c>
      <c r="C673" s="6">
        <v>254.283845650752</v>
      </c>
      <c r="D673" s="6">
        <v>31.617436487297802</v>
      </c>
      <c r="E673" s="6">
        <v>36.269939625624701</v>
      </c>
      <c r="F673" s="6">
        <v>0.95038366490507198</v>
      </c>
      <c r="G673" s="6">
        <v>80.973898633118907</v>
      </c>
      <c r="H673" s="6">
        <v>66.924070483909901</v>
      </c>
      <c r="I673" t="str">
        <f t="shared" si="11"/>
        <v>wedding</v>
      </c>
      <c r="J673" t="s">
        <v>982</v>
      </c>
    </row>
  </sheetData>
  <autoFilter ref="A1:J673">
    <filterColumn colId="8">
      <filters>
        <filter val="earth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H37" sqref="H37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Normal="100" workbookViewId="0">
      <selection activeCell="L15" sqref="L15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152</vt:i4>
      </vt:variant>
    </vt:vector>
  </HeadingPairs>
  <TitlesOfParts>
    <vt:vector size="164" baseType="lpstr">
      <vt:lpstr>未转yuv的HEVC结果</vt:lpstr>
      <vt:lpstr>未转yuv的PEG-HEVC-ME-COMPARE</vt:lpstr>
      <vt:lpstr>ALL 弃用</vt:lpstr>
      <vt:lpstr>降采样-压缩率变化 弃用</vt:lpstr>
      <vt:lpstr>降采样-倍率PSNR曲线关系 弃用</vt:lpstr>
      <vt:lpstr>ALL</vt:lpstr>
      <vt:lpstr>JPEG结果</vt:lpstr>
      <vt:lpstr>HEVC结果</vt:lpstr>
      <vt:lpstr>嵌入解码器的行残差</vt:lpstr>
      <vt:lpstr>JPEG-HEVC同表</vt:lpstr>
      <vt:lpstr>传统倍率-psnr</vt:lpstr>
      <vt:lpstr>smooth测试</vt:lpstr>
      <vt:lpstr>ALL!ExternalData_1</vt:lpstr>
      <vt:lpstr>'ALL 弃用'!ExternalData_1</vt:lpstr>
      <vt:lpstr>HEVC结果!ExternalData_1</vt:lpstr>
      <vt:lpstr>'JPEG-HEVC同表'!ExternalData_1</vt:lpstr>
      <vt:lpstr>JPEG结果!ExternalData_1</vt:lpstr>
      <vt:lpstr>未转yuv的HEVC结果!ExternalData_1</vt:lpstr>
      <vt:lpstr>'ALL 弃用'!ExternalData_10</vt:lpstr>
      <vt:lpstr>HEVC结果!ExternalData_10</vt:lpstr>
      <vt:lpstr>'JPEG-HEVC同表'!ExternalData_10</vt:lpstr>
      <vt:lpstr>JPEG结果!ExternalData_10</vt:lpstr>
      <vt:lpstr>'ALL 弃用'!ExternalData_11</vt:lpstr>
      <vt:lpstr>HEVC结果!ExternalData_11</vt:lpstr>
      <vt:lpstr>'JPEG-HEVC同表'!ExternalData_11</vt:lpstr>
      <vt:lpstr>JPEG结果!ExternalData_11</vt:lpstr>
      <vt:lpstr>'ALL 弃用'!ExternalData_12</vt:lpstr>
      <vt:lpstr>HEVC结果!ExternalData_12</vt:lpstr>
      <vt:lpstr>'JPEG-HEVC同表'!ExternalData_12</vt:lpstr>
      <vt:lpstr>'ALL 弃用'!ExternalData_13</vt:lpstr>
      <vt:lpstr>HEVC结果!ExternalData_13</vt:lpstr>
      <vt:lpstr>'JPEG-HEVC同表'!ExternalData_13</vt:lpstr>
      <vt:lpstr>JPEG结果!ExternalData_13</vt:lpstr>
      <vt:lpstr>'ALL 弃用'!ExternalData_14</vt:lpstr>
      <vt:lpstr>HEVC结果!ExternalData_14</vt:lpstr>
      <vt:lpstr>'JPEG-HEVC同表'!ExternalData_14</vt:lpstr>
      <vt:lpstr>JPEG结果!ExternalData_14</vt:lpstr>
      <vt:lpstr>'ALL 弃用'!ExternalData_15</vt:lpstr>
      <vt:lpstr>HEVC结果!ExternalData_15</vt:lpstr>
      <vt:lpstr>'JPEG-HEVC同表'!ExternalData_15</vt:lpstr>
      <vt:lpstr>JPEG结果!ExternalData_15</vt:lpstr>
      <vt:lpstr>'ALL 弃用'!ExternalData_16</vt:lpstr>
      <vt:lpstr>HEVC结果!ExternalData_16</vt:lpstr>
      <vt:lpstr>'JPEG-HEVC同表'!ExternalData_16</vt:lpstr>
      <vt:lpstr>JPEG结果!ExternalData_16</vt:lpstr>
      <vt:lpstr>'ALL 弃用'!ExternalData_17</vt:lpstr>
      <vt:lpstr>HEVC结果!ExternalData_17</vt:lpstr>
      <vt:lpstr>'JPEG-HEVC同表'!ExternalData_17</vt:lpstr>
      <vt:lpstr>JPEG结果!ExternalData_17</vt:lpstr>
      <vt:lpstr>'ALL 弃用'!ExternalData_18</vt:lpstr>
      <vt:lpstr>HEVC结果!ExternalData_18</vt:lpstr>
      <vt:lpstr>'JPEG-HEVC同表'!ExternalData_18</vt:lpstr>
      <vt:lpstr>JPEG结果!ExternalData_18</vt:lpstr>
      <vt:lpstr>'ALL 弃用'!ExternalData_19</vt:lpstr>
      <vt:lpstr>HEVC结果!ExternalData_19</vt:lpstr>
      <vt:lpstr>'JPEG-HEVC同表'!ExternalData_19</vt:lpstr>
      <vt:lpstr>JPEG结果!ExternalData_19</vt:lpstr>
      <vt:lpstr>ALL!ExternalData_2</vt:lpstr>
      <vt:lpstr>'ALL 弃用'!ExternalData_2</vt:lpstr>
      <vt:lpstr>HEVC结果!ExternalData_2</vt:lpstr>
      <vt:lpstr>'JPEG-HEVC同表'!ExternalData_2</vt:lpstr>
      <vt:lpstr>未转yuv的HEVC结果!ExternalData_2</vt:lpstr>
      <vt:lpstr>'ALL 弃用'!ExternalData_20</vt:lpstr>
      <vt:lpstr>HEVC结果!ExternalData_20</vt:lpstr>
      <vt:lpstr>'JPEG-HEVC同表'!ExternalData_20</vt:lpstr>
      <vt:lpstr>JPEG结果!ExternalData_20</vt:lpstr>
      <vt:lpstr>'ALL 弃用'!ExternalData_21</vt:lpstr>
      <vt:lpstr>HEVC结果!ExternalData_21</vt:lpstr>
      <vt:lpstr>'JPEG-HEVC同表'!ExternalData_21</vt:lpstr>
      <vt:lpstr>JPEG结果!ExternalData_21</vt:lpstr>
      <vt:lpstr>'ALL 弃用'!ExternalData_22</vt:lpstr>
      <vt:lpstr>'JPEG-HEVC同表'!ExternalData_22</vt:lpstr>
      <vt:lpstr>JPEG结果!ExternalData_22</vt:lpstr>
      <vt:lpstr>'ALL 弃用'!ExternalData_23</vt:lpstr>
      <vt:lpstr>'JPEG-HEVC同表'!ExternalData_23</vt:lpstr>
      <vt:lpstr>JPEG结果!ExternalData_23</vt:lpstr>
      <vt:lpstr>'ALL 弃用'!ExternalData_24</vt:lpstr>
      <vt:lpstr>'JPEG-HEVC同表'!ExternalData_24</vt:lpstr>
      <vt:lpstr>JPEG结果!ExternalData_24</vt:lpstr>
      <vt:lpstr>'ALL 弃用'!ExternalData_25</vt:lpstr>
      <vt:lpstr>'JPEG-HEVC同表'!ExternalData_25</vt:lpstr>
      <vt:lpstr>'ALL 弃用'!ExternalData_26</vt:lpstr>
      <vt:lpstr>'JPEG-HEVC同表'!ExternalData_26</vt:lpstr>
      <vt:lpstr>'ALL 弃用'!ExternalData_27</vt:lpstr>
      <vt:lpstr>'JPEG-HEVC同表'!ExternalData_27</vt:lpstr>
      <vt:lpstr>'ALL 弃用'!ExternalData_28</vt:lpstr>
      <vt:lpstr>'JPEG-HEVC同表'!ExternalData_28</vt:lpstr>
      <vt:lpstr>'降采样-压缩率变化 弃用'!ExternalData_28</vt:lpstr>
      <vt:lpstr>'JPEG-HEVC同表'!ExternalData_29</vt:lpstr>
      <vt:lpstr>'降采样-压缩率变化 弃用'!ExternalData_29</vt:lpstr>
      <vt:lpstr>ALL!ExternalData_3</vt:lpstr>
      <vt:lpstr>'ALL 弃用'!ExternalData_3</vt:lpstr>
      <vt:lpstr>HEVC结果!ExternalData_3</vt:lpstr>
      <vt:lpstr>'JPEG-HEVC同表'!ExternalData_3</vt:lpstr>
      <vt:lpstr>JPEG结果!ExternalData_3</vt:lpstr>
      <vt:lpstr>未转yuv的HEVC结果!ExternalData_3</vt:lpstr>
      <vt:lpstr>'JPEG-HEVC同表'!ExternalData_30</vt:lpstr>
      <vt:lpstr>'降采样-压缩率变化 弃用'!ExternalData_30</vt:lpstr>
      <vt:lpstr>'JPEG-HEVC同表'!ExternalData_31</vt:lpstr>
      <vt:lpstr>'降采样-压缩率变化 弃用'!ExternalData_31</vt:lpstr>
      <vt:lpstr>'JPEG-HEVC同表'!ExternalData_32</vt:lpstr>
      <vt:lpstr>'降采样-压缩率变化 弃用'!ExternalData_32</vt:lpstr>
      <vt:lpstr>'JPEG-HEVC同表'!ExternalData_33</vt:lpstr>
      <vt:lpstr>'降采样-压缩率变化 弃用'!ExternalData_33</vt:lpstr>
      <vt:lpstr>'JPEG-HEVC同表'!ExternalData_34</vt:lpstr>
      <vt:lpstr>'降采样-压缩率变化 弃用'!ExternalData_34</vt:lpstr>
      <vt:lpstr>'JPEG-HEVC同表'!ExternalData_35</vt:lpstr>
      <vt:lpstr>'降采样-压缩率变化 弃用'!ExternalData_35</vt:lpstr>
      <vt:lpstr>'JPEG-HEVC同表'!ExternalData_36</vt:lpstr>
      <vt:lpstr>'降采样-压缩率变化 弃用'!ExternalData_36</vt:lpstr>
      <vt:lpstr>'JPEG-HEVC同表'!ExternalData_37</vt:lpstr>
      <vt:lpstr>'降采样-压缩率变化 弃用'!ExternalData_37</vt:lpstr>
      <vt:lpstr>'JPEG-HEVC同表'!ExternalData_38</vt:lpstr>
      <vt:lpstr>'降采样-压缩率变化 弃用'!ExternalData_38</vt:lpstr>
      <vt:lpstr>'JPEG-HEVC同表'!ExternalData_39</vt:lpstr>
      <vt:lpstr>'降采样-压缩率变化 弃用'!ExternalData_39</vt:lpstr>
      <vt:lpstr>ALL!ExternalData_4</vt:lpstr>
      <vt:lpstr>'ALL 弃用'!ExternalData_4</vt:lpstr>
      <vt:lpstr>HEVC结果!ExternalData_4</vt:lpstr>
      <vt:lpstr>'JPEG-HEVC同表'!ExternalData_4</vt:lpstr>
      <vt:lpstr>JPEG结果!ExternalData_4</vt:lpstr>
      <vt:lpstr>未转yuv的HEVC结果!ExternalData_4</vt:lpstr>
      <vt:lpstr>'JPEG-HEVC同表'!ExternalData_40</vt:lpstr>
      <vt:lpstr>'降采样-压缩率变化 弃用'!ExternalData_40</vt:lpstr>
      <vt:lpstr>'JPEG-HEVC同表'!ExternalData_41</vt:lpstr>
      <vt:lpstr>'降采样-压缩率变化 弃用'!ExternalData_41</vt:lpstr>
      <vt:lpstr>'降采样-压缩率变化 弃用'!ExternalData_42</vt:lpstr>
      <vt:lpstr>'降采样-压缩率变化 弃用'!ExternalData_43</vt:lpstr>
      <vt:lpstr>'降采样-压缩率变化 弃用'!ExternalData_44</vt:lpstr>
      <vt:lpstr>'降采样-压缩率变化 弃用'!ExternalData_45</vt:lpstr>
      <vt:lpstr>'降采样-压缩率变化 弃用'!ExternalData_46</vt:lpstr>
      <vt:lpstr>'降采样-压缩率变化 弃用'!ExternalData_47</vt:lpstr>
      <vt:lpstr>'降采样-压缩率变化 弃用'!ExternalData_48</vt:lpstr>
      <vt:lpstr>'降采样-压缩率变化 弃用'!ExternalData_49</vt:lpstr>
      <vt:lpstr>ALL!ExternalData_5</vt:lpstr>
      <vt:lpstr>'ALL 弃用'!ExternalData_5</vt:lpstr>
      <vt:lpstr>HEVC结果!ExternalData_5</vt:lpstr>
      <vt:lpstr>'JPEG-HEVC同表'!ExternalData_5</vt:lpstr>
      <vt:lpstr>JPEG结果!ExternalData_5</vt:lpstr>
      <vt:lpstr>未转yuv的HEVC结果!ExternalData_5</vt:lpstr>
      <vt:lpstr>'降采样-压缩率变化 弃用'!ExternalData_50</vt:lpstr>
      <vt:lpstr>'降采样-压缩率变化 弃用'!ExternalData_51</vt:lpstr>
      <vt:lpstr>'降采样-压缩率变化 弃用'!ExternalData_52</vt:lpstr>
      <vt:lpstr>'降采样-压缩率变化 弃用'!ExternalData_53</vt:lpstr>
      <vt:lpstr>'降采样-压缩率变化 弃用'!ExternalData_54</vt:lpstr>
      <vt:lpstr>'降采样-压缩率变化 弃用'!ExternalData_55</vt:lpstr>
      <vt:lpstr>ALL!ExternalData_6</vt:lpstr>
      <vt:lpstr>'ALL 弃用'!ExternalData_6</vt:lpstr>
      <vt:lpstr>HEVC结果!ExternalData_6</vt:lpstr>
      <vt:lpstr>'JPEG-HEVC同表'!ExternalData_6</vt:lpstr>
      <vt:lpstr>未转yuv的HEVC结果!ExternalData_6</vt:lpstr>
      <vt:lpstr>ALL!ExternalData_7</vt:lpstr>
      <vt:lpstr>'ALL 弃用'!ExternalData_7</vt:lpstr>
      <vt:lpstr>HEVC结果!ExternalData_7</vt:lpstr>
      <vt:lpstr>'JPEG-HEVC同表'!ExternalData_7</vt:lpstr>
      <vt:lpstr>JPEG结果!ExternalData_7</vt:lpstr>
      <vt:lpstr>'ALL 弃用'!ExternalData_8</vt:lpstr>
      <vt:lpstr>HEVC结果!ExternalData_8</vt:lpstr>
      <vt:lpstr>'JPEG-HEVC同表'!ExternalData_8</vt:lpstr>
      <vt:lpstr>JPEG结果!ExternalData_8</vt:lpstr>
      <vt:lpstr>'ALL 弃用'!ExternalData_9</vt:lpstr>
      <vt:lpstr>HEVC结果!ExternalData_9</vt:lpstr>
      <vt:lpstr>'JPEG-HEVC同表'!ExternalData_9</vt:lpstr>
      <vt:lpstr>JPEG结果!ExternalData_9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2020-07-18T04:23:14Z</dcterms:modified>
</cp:coreProperties>
</file>