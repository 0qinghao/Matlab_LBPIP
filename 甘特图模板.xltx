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514"/>
  <workbookPr filterPrivacy="1" codeName="ThisWorkbook"/>
  <xr:revisionPtr revIDLastSave="0" documentId="13_ncr:1_{415AFF4A-D4F7-4C1D-88CC-A64A1EDE13B0}" xr6:coauthVersionLast="43" xr6:coauthVersionMax="43" xr10:uidLastSave="{00000000-0000-0000-0000-000000000000}"/>
  <bookViews>
    <workbookView xWindow="-120" yWindow="-120" windowWidth="28890" windowHeight="16110" xr2:uid="{00000000-000D-0000-FFFF-FFFF00000000}"/>
  </bookViews>
  <sheets>
    <sheet name="项目日程安排" sheetId="11" r:id="rId1"/>
    <sheet name="关于" sheetId="12" r:id="rId2"/>
  </sheets>
  <definedNames>
    <definedName name="Display_Week">项目日程安排!$E$4</definedName>
    <definedName name="_xlnm.Print_Titles" localSheetId="0">项目日程安排!$4:$6</definedName>
    <definedName name="Project_Start">项目日程安排!$E$3</definedName>
    <definedName name="task_end" localSheetId="0">项目日程安排!$F1</definedName>
    <definedName name="task_progress" localSheetId="0">项目日程安排!$D1</definedName>
    <definedName name="task_start" localSheetId="0">项目日程安排!$E1</definedName>
    <definedName name="今天" localSheetId="0">TODAY()</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7" i="11" l="1"/>
  <c r="E3" i="11" l="1"/>
  <c r="E9" i="11" l="1"/>
  <c r="E21" i="11" s="1"/>
  <c r="F21" i="11" s="1"/>
  <c r="E22" i="11" s="1"/>
  <c r="F22" i="11" s="1"/>
  <c r="H22" i="11" s="1"/>
  <c r="I5" i="11"/>
  <c r="I6" i="11" s="1"/>
  <c r="H33" i="11"/>
  <c r="H32" i="11"/>
  <c r="H31" i="11"/>
  <c r="H30" i="11"/>
  <c r="H29" i="11"/>
  <c r="H28" i="11"/>
  <c r="H26" i="11"/>
  <c r="H20" i="11"/>
  <c r="H14" i="11"/>
  <c r="H8" i="11"/>
  <c r="H21" i="11" l="1"/>
  <c r="F9" i="11"/>
  <c r="E10" i="11" s="1"/>
  <c r="F10" i="11" s="1"/>
  <c r="E11" i="11" s="1"/>
  <c r="E23" i="11"/>
  <c r="F23" i="11" s="1"/>
  <c r="H9" i="11"/>
  <c r="E13" i="11" l="1"/>
  <c r="E15" i="11" s="1"/>
  <c r="E16" i="11" s="1"/>
  <c r="E25" i="11"/>
  <c r="F25" i="11" s="1"/>
  <c r="H25" i="11" s="1"/>
  <c r="H27" i="11"/>
  <c r="H10" i="11"/>
  <c r="E24" i="11"/>
  <c r="H23" i="11"/>
  <c r="F16" i="11"/>
  <c r="F15" i="11"/>
  <c r="H15" i="11" s="1"/>
  <c r="F13" i="11"/>
  <c r="H13" i="11" s="1"/>
  <c r="F11" i="11"/>
  <c r="E12" i="11" s="1"/>
  <c r="J5" i="11"/>
  <c r="I4" i="11"/>
  <c r="K5" i="11" l="1"/>
  <c r="J6" i="11"/>
  <c r="F24" i="11"/>
  <c r="H24" i="11" s="1"/>
  <c r="H16" i="11"/>
  <c r="E17" i="11"/>
  <c r="E18" i="11" s="1"/>
  <c r="E19" i="11" s="1"/>
  <c r="H11" i="11"/>
  <c r="F12" i="11"/>
  <c r="H12" i="11" s="1"/>
  <c r="L5" i="11" l="1"/>
  <c r="K6" i="11"/>
  <c r="F19" i="11"/>
  <c r="H19" i="11" s="1"/>
  <c r="F18" i="11"/>
  <c r="H18" i="11" s="1"/>
  <c r="F17" i="11"/>
  <c r="H17" i="11" s="1"/>
  <c r="M5" i="11" l="1"/>
  <c r="L6" i="11"/>
  <c r="N5" i="11" l="1"/>
  <c r="M6" i="11"/>
  <c r="O5" i="11" l="1"/>
  <c r="N6" i="11"/>
  <c r="P5" i="11" l="1"/>
  <c r="O6" i="11"/>
  <c r="P6" i="11" l="1"/>
  <c r="Q5" i="11"/>
  <c r="P4" i="11"/>
  <c r="R5" i="11" l="1"/>
  <c r="Q6" i="11"/>
  <c r="S5" i="11" l="1"/>
  <c r="R6" i="11"/>
  <c r="T5" i="11" l="1"/>
  <c r="S6" i="11"/>
  <c r="U5" i="11" l="1"/>
  <c r="T6" i="11"/>
  <c r="V5" i="11" l="1"/>
  <c r="U6" i="11"/>
  <c r="W5" i="11" l="1"/>
  <c r="V6" i="11"/>
  <c r="W6" i="11" l="1"/>
  <c r="X5" i="11"/>
  <c r="W4" i="11"/>
  <c r="Y5" i="11" l="1"/>
  <c r="X6" i="11"/>
  <c r="Z5" i="11" l="1"/>
  <c r="Y6" i="11"/>
  <c r="AA5" i="11" l="1"/>
  <c r="Z6" i="11"/>
  <c r="AB5" i="11" l="1"/>
  <c r="AA6" i="11"/>
  <c r="AC5" i="11" l="1"/>
  <c r="AB6" i="11"/>
  <c r="AD5" i="11" l="1"/>
  <c r="AC6" i="11"/>
  <c r="AD6" i="11" l="1"/>
  <c r="AE5" i="11"/>
  <c r="AD4" i="11"/>
  <c r="AF5" i="11" l="1"/>
  <c r="AE6" i="11"/>
  <c r="AG5" i="11" l="1"/>
  <c r="AF6" i="11"/>
  <c r="AH5" i="11" l="1"/>
  <c r="AG6" i="11"/>
  <c r="AI5" i="11" l="1"/>
  <c r="AH6" i="11"/>
  <c r="AJ5" i="11" l="1"/>
  <c r="AI6" i="11"/>
  <c r="AJ6" i="11" l="1"/>
  <c r="AK5" i="11"/>
  <c r="AL5" i="11" l="1"/>
  <c r="AK6" i="11"/>
  <c r="AK4" i="11"/>
  <c r="AM5" i="11" l="1"/>
  <c r="AL6" i="11"/>
  <c r="AN5" i="11" l="1"/>
  <c r="AM6" i="11"/>
  <c r="AO5" i="11" l="1"/>
  <c r="AN6" i="11"/>
  <c r="AP5" i="11" l="1"/>
  <c r="AO6" i="11"/>
  <c r="AQ5" i="11" l="1"/>
  <c r="AP6" i="11"/>
  <c r="AQ6" i="11" l="1"/>
  <c r="AR5" i="11"/>
  <c r="AS5" i="11" l="1"/>
  <c r="AR6" i="11"/>
  <c r="AR4" i="11"/>
  <c r="AS6" i="11" l="1"/>
  <c r="AT5" i="11"/>
  <c r="AT6" i="11" l="1"/>
  <c r="AU5" i="11"/>
  <c r="AU6" i="11" l="1"/>
  <c r="AV5" i="11"/>
  <c r="AV6" i="11" l="1"/>
  <c r="AW5" i="11"/>
  <c r="AW6" i="11" l="1"/>
  <c r="AX5" i="11"/>
  <c r="AY5" i="11" l="1"/>
  <c r="AX6" i="11"/>
  <c r="AY6" i="11" l="1"/>
  <c r="AZ5" i="11"/>
  <c r="AY4" i="11"/>
  <c r="AZ6" i="11" l="1"/>
  <c r="BA5" i="11"/>
  <c r="BA6" i="11" l="1"/>
  <c r="BB5" i="11"/>
  <c r="BB6" i="11" l="1"/>
  <c r="BC5" i="11"/>
  <c r="BC6" i="11" l="1"/>
  <c r="BD5" i="11"/>
  <c r="BD6" i="11" l="1"/>
  <c r="BE5" i="11"/>
  <c r="BE6" i="11" l="1"/>
  <c r="BF5" i="11"/>
  <c r="BF6" i="11" l="1"/>
  <c r="BG5" i="11"/>
  <c r="BF4" i="11"/>
  <c r="BG6" i="11" l="1"/>
  <c r="BH5" i="11"/>
  <c r="BH6" i="11" l="1"/>
  <c r="BI5" i="11"/>
  <c r="BI6" i="11" l="1"/>
  <c r="BJ5" i="11"/>
  <c r="BJ6" i="11" l="1"/>
  <c r="BK5" i="11"/>
  <c r="BK6" i="11" l="1"/>
  <c r="BL5" i="11"/>
  <c r="BL6" i="11" s="1"/>
</calcChain>
</file>

<file path=xl/sharedStrings.xml><?xml version="1.0" encoding="utf-8"?>
<sst xmlns="http://schemas.openxmlformats.org/spreadsheetml/2006/main" count="79" uniqueCount="52">
  <si>
    <t>在此工作表中创建项目日程安排。
在单元格 B1 中输入此项目的标题。
有关如何使用此工作表（包括屏幕阅读器的说明）以及此工作簿作者的信息包含在“关于”工作表中。
继续向下浏览 A 列，获取进一步指示。</t>
  </si>
  <si>
    <t>在单元格 B2 中输入公司名称。</t>
  </si>
  <si>
    <t>在单元格 B3 中输入项目主管的姓名。在单元格 E3 中输入项目开始日期。项目开始：标签位于单元格 C3 中。</t>
  </si>
  <si>
    <t>单元格 E4 中的显示周数表示单元格 I4 中项目日程安排内显示的起始周数。项目开始日期视为第 1 周。要更改显示周数，只需单元格 E4 中输入新的周数。
从单元格 E4 的显示周数开始，每周的开始日期从单元格 I4 开始并且说自动计算得出的。在该视图中，从单元格 I4 到单元格 BF4 共有 8 周的时间。
请勿修改这些单元格。
显示周数：标签位于单元格 C4 中。</t>
  </si>
  <si>
    <t>单元格 I5 到 BL5 包含每个日期单元格上方单元格块中表示的星期的日期数字并且是自动计算得出的。
请勿修改这些单元格。
今天的日期带有红色（十六进制 #AD3815）轮廓（从第 5 行中显示今天日期的列及至项目日程安排结尾的该列）。</t>
  </si>
  <si>
    <t>此行包含其后面的项目日程安排的标题。
从 B6 浏览到 BL6 以获取内容。该标题上方日期一周中每一天的首字母，从单元格 I6 开始，直到单元格 BL6。
所有项目日程表图表都是根据输入的开始和结束日期使用条件格式自动生成的。
从单元格 I7 开始的列 I 之后，请勿修改列内单元格中的内容。</t>
  </si>
  <si>
    <t xml:space="preserve">请勿删除此行。隐藏了此行，以保留用于突出显示项目日程安排中当天的公式。 </t>
  </si>
  <si>
    <t>单元格 B8 包含第 1 阶段示例标题。
在单元格 B8 中输入新标题。
如果适用于你的项目，请在单元格 C8 中输入名称以指定阶段。
如果适用于你的项目，请在单元格 D8 中输入整个阶段的进度。
如果适用于你的项目，请在单元格 E8 和 F8 中输入整个阶段的开始和结束日期。
甘特图将根据输入的进度自动填充适当的日期和着色。
要仅从任务中删除阶段和工作，只需删除此行即可。</t>
  </si>
  <si>
    <t xml:space="preserve">单元格 B9 包含示例任务“任务 1”。
在单元格 B9 中输入新的任务名称。
在单元格 C9 中输入任务负责人。
在单元格 D9 中输入任务进度。进度条出现在单元格中，并根据单元格中的数字进行着色。例如，50% 的进度将着色一半的单元格。
在单元格 E9 中输入任务开始日期。
在单元格 F9 中输入任务结束日期。
从单元格 I9 到 BL9 的块中显示输入日期的已着色状态栏。 </t>
  </si>
  <si>
    <t>第 10 行到第 13 行重复第 9 行的模式。
请对此工作表中的所有任务行重复单元格 A9 中的指令。覆盖任何示例数据。
另一个阶段的示例从单元格 A14 开始。
继续在单元格 A10 到 A13 中输入任务或转到单元格 A14 了解详细信息。</t>
  </si>
  <si>
    <t>右侧的单元格包含第 2 阶段示例标题。
可随时在 B 列中创建新阶段。此项目日程安排不需要阶段。要删除阶段，只需删除该行即可。
要在此行中创建新的阶段块，请在右侧的单元格中输入新的标题。
要继续向上述阶段添加任务，请在此行上方输入一个新行，并按照单元格 A9 的指令填写任务数据。
根据单元格 A8 的指令更新右侧单元格中的阶段详细信息。
继续向下浏览 A 列单元格，了解更多信息。
如果尚未在此工作表中添加任何新行，将在单元格 B20 和 B26 中找到已创建的 2 个其他示例阶段块。否则，请浏览 A 列单元格以查找其他块。
在需要时重复单元格 A8 和 A9 的说明进行操作。</t>
  </si>
  <si>
    <t>示例阶段标题块</t>
  </si>
  <si>
    <t>这是一个空行</t>
  </si>
  <si>
    <t>此行标记项目日程安排的结尾。请勿在此行中输入任何内容。
在此行上方插入新行，以继续构建项目日程安排。</t>
  </si>
  <si>
    <t>项目标题</t>
  </si>
  <si>
    <t>公司名称</t>
  </si>
  <si>
    <t>项目主管</t>
  </si>
  <si>
    <t>任务</t>
  </si>
  <si>
    <t>阶段 1 标题</t>
  </si>
  <si>
    <t>任务 1</t>
  </si>
  <si>
    <t>任务 2</t>
  </si>
  <si>
    <t>任务 3</t>
  </si>
  <si>
    <t>任务 4</t>
  </si>
  <si>
    <t>任务 5</t>
  </si>
  <si>
    <t>阶段 2 标题</t>
  </si>
  <si>
    <t>阶段 3 标题</t>
  </si>
  <si>
    <t>阶段 4 标题</t>
  </si>
  <si>
    <t>在此行上方插入新行</t>
  </si>
  <si>
    <t>项目开始：</t>
  </si>
  <si>
    <t>显示周数：</t>
  </si>
  <si>
    <t>分配
到</t>
  </si>
  <si>
    <t>姓名</t>
  </si>
  <si>
    <t>进度</t>
  </si>
  <si>
    <t>开始日期</t>
  </si>
  <si>
    <t>日期</t>
  </si>
  <si>
    <t>结束日期</t>
  </si>
  <si>
    <t>天数</t>
  </si>
  <si>
    <t>Vertex42.com 提供的简单甘特图</t>
  </si>
  <si>
    <t>https://www.vertex42.com/ExcelTemplates/simple-gantt-chart.html</t>
  </si>
  <si>
    <t>关于此模板</t>
  </si>
  <si>
    <t>此模板提供了一种创建甘特图的简单方法，可帮助直观呈现和跟踪项目。只需输入任务以及开始和结束日期 - 无需公式。甘特图中的条形表示任务的持续时间，并且使用条件格式显示。通过插入新行插入新任务。</t>
  </si>
  <si>
    <t>屏幕阅读器指南</t>
  </si>
  <si>
    <t>此工作簿中有 2 个工作表。
项目日程安排
关于
每个工作表的指示文本位于每个工作表中自单元格 A1 开始的 A 列中。这些指示都使用隐藏文本编写。每个步骤均提供相应指示，引导阅读者查看行中的相应信息。除非另有明确指示，否则会在单元格 A2、A3 等后续单元格中持续指示相应步骤。例如，指示文本可能显示为“转到单元格 A6”以执行下一步操作。
将不会打印此隐藏文本。
要从工作表删除这些指示，只需删除 A 列即可。</t>
  </si>
  <si>
    <t>更多帮助</t>
  </si>
  <si>
    <t>单击下面的链接以访问 vertex42.com 并了解有关如何使用此模板的更多信息，例如如何计算天数和工作天数、创建任务依赖关系、更改条形颜色、添加滚动条以更易于更改显示周数、延长图表中显示的日期范围等。</t>
  </si>
  <si>
    <t>如何使用简单甘特图</t>
  </si>
  <si>
    <t>更多项目管理模板</t>
  </si>
  <si>
    <t>请访问 Vertex42.com 下载其他项目管理模板，包括不同类型的项目日程安排、甘特图、任务列表等。</t>
  </si>
  <si>
    <t>项目管理模板</t>
  </si>
  <si>
    <t>了解 Vertex42</t>
  </si>
  <si>
    <t>Vertex42.com 为企业、家庭和教育提供超过 300 种专业设计的电子表格模板 - 其中大部分都可免费下载。这些集合包括各种日历、规划师和日程安排，以及用于预算、减免债务和分期偿还贷款的个人财务电子表格。</t>
  </si>
  <si>
    <t>企业可查找发票、时间表、库存跟踪表、财务报表和项目计划模板。教师和学生可查找诸如课程表、成绩簿和出勤表等资源。还可通过用餐规划师、清单和锻炼日志来组织家庭生活。通过来自数千名用户的反馈，每个模板都经过了深入的研究、完善和改进。</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</si>
</sst>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2" formatCode="_ &quot;¥&quot;* #,##0_ ;_ &quot;¥&quot;* \-#,##0_ ;_ &quot;¥&quot;* &quot;-&quot;_ ;_ @_ "/>
    <numFmt numFmtId="44" formatCode="_ &quot;¥&quot;* #,##0.00_ ;_ &quot;¥&quot;* \-#,##0.00_ ;_ &quot;¥&quot;* &quot;-&quot;??_ ;_ @_ "/>
    <numFmt numFmtId="176" formatCode="_(* #,##0_);_(* \(#,##0\);_(* &quot;-&quot;_);_(@_)"/>
    <numFmt numFmtId="177" formatCode="_(* #,##0.00_);_(* \(#,##0.00\);_(* &quot;-&quot;??_);_(@_)"/>
    <numFmt numFmtId="178" formatCode="m/d/yy;@"/>
    <numFmt numFmtId="180" formatCode="d"/>
    <numFmt numFmtId="181" formatCode="yy/m/d;@"/>
    <numFmt numFmtId="183" formatCode="aaa\,\ yyyy/m/d"/>
  </numFmts>
  <fonts count="34" x14ac:knownFonts="1">
    <font>
      <sz val="11"/>
      <color theme="1"/>
      <name val="Microsoft YaHei UI"/>
      <family val="2"/>
      <charset val="134"/>
    </font>
    <font>
      <sz val="11"/>
      <color theme="1"/>
      <name val="Microsoft YaHei UI"/>
      <family val="2"/>
      <charset val="134"/>
    </font>
    <font>
      <sz val="11"/>
      <color theme="0"/>
      <name val="Microsoft YaHei UI"/>
      <family val="2"/>
      <charset val="134"/>
    </font>
    <font>
      <sz val="11"/>
      <color rgb="FF006100"/>
      <name val="Microsoft YaHei UI"/>
      <family val="2"/>
      <charset val="134"/>
    </font>
    <font>
      <sz val="11"/>
      <color rgb="FF9C0006"/>
      <name val="Microsoft YaHei UI"/>
      <family val="2"/>
      <charset val="134"/>
    </font>
    <font>
      <u/>
      <sz val="11"/>
      <color theme="11"/>
      <name val="Microsoft YaHei UI"/>
      <family val="2"/>
      <charset val="134"/>
    </font>
    <font>
      <b/>
      <sz val="22"/>
      <color theme="1" tint="0.34998626667073579"/>
      <name val="Microsoft YaHei UI"/>
      <family val="2"/>
      <charset val="134"/>
    </font>
    <font>
      <sz val="14"/>
      <color theme="1"/>
      <name val="Microsoft YaHei UI"/>
      <family val="2"/>
      <charset val="134"/>
    </font>
    <font>
      <b/>
      <sz val="11"/>
      <color theme="3"/>
      <name val="Microsoft YaHei UI"/>
      <family val="2"/>
      <charset val="134"/>
    </font>
    <font>
      <b/>
      <sz val="11"/>
      <color theme="0"/>
      <name val="Microsoft YaHei UI"/>
      <family val="2"/>
      <charset val="134"/>
    </font>
    <font>
      <b/>
      <sz val="11"/>
      <color theme="1"/>
      <name val="Microsoft YaHei UI"/>
      <family val="2"/>
      <charset val="134"/>
    </font>
    <font>
      <i/>
      <sz val="11"/>
      <color rgb="FF7F7F7F"/>
      <name val="Microsoft YaHei UI"/>
      <family val="2"/>
      <charset val="134"/>
    </font>
    <font>
      <sz val="11"/>
      <color rgb="FFFF0000"/>
      <name val="Microsoft YaHei UI"/>
      <family val="2"/>
      <charset val="134"/>
    </font>
    <font>
      <b/>
      <sz val="11"/>
      <color rgb="FFFA7D00"/>
      <name val="Microsoft YaHei UI"/>
      <family val="2"/>
      <charset val="134"/>
    </font>
    <font>
      <u/>
      <sz val="11"/>
      <color indexed="12"/>
      <name val="Microsoft YaHei UI"/>
      <family val="2"/>
      <charset val="134"/>
    </font>
    <font>
      <sz val="11"/>
      <color rgb="FF3F3F76"/>
      <name val="Microsoft YaHei UI"/>
      <family val="2"/>
      <charset val="134"/>
    </font>
    <font>
      <b/>
      <sz val="11"/>
      <color rgb="FF3F3F3F"/>
      <name val="Microsoft YaHei UI"/>
      <family val="2"/>
      <charset val="134"/>
    </font>
    <font>
      <sz val="11"/>
      <color rgb="FF9C5700"/>
      <name val="Microsoft YaHei UI"/>
      <family val="2"/>
      <charset val="134"/>
    </font>
    <font>
      <sz val="11"/>
      <color rgb="FFFA7D00"/>
      <name val="Microsoft YaHei UI"/>
      <family val="2"/>
      <charset val="134"/>
    </font>
    <font>
      <b/>
      <sz val="20"/>
      <color theme="4" tint="-0.249977111117893"/>
      <name val="Microsoft YaHei UI"/>
      <family val="2"/>
      <charset val="134"/>
    </font>
    <font>
      <sz val="10"/>
      <name val="Microsoft YaHei UI"/>
      <family val="2"/>
      <charset val="134"/>
    </font>
    <font>
      <b/>
      <sz val="11"/>
      <color theme="1" tint="0.499984740745262"/>
      <name val="Microsoft YaHei UI"/>
      <family val="2"/>
      <charset val="134"/>
    </font>
    <font>
      <sz val="10"/>
      <color theme="1" tint="0.499984740745262"/>
      <name val="Microsoft YaHei UI"/>
      <family val="2"/>
      <charset val="134"/>
    </font>
    <font>
      <sz val="9"/>
      <name val="Microsoft YaHei UI"/>
      <family val="2"/>
      <charset val="134"/>
    </font>
    <font>
      <b/>
      <sz val="9"/>
      <color theme="0"/>
      <name val="Microsoft YaHei UI"/>
      <family val="2"/>
      <charset val="134"/>
    </font>
    <font>
      <sz val="8"/>
      <color theme="0"/>
      <name val="Microsoft YaHei UI"/>
      <family val="2"/>
      <charset val="134"/>
    </font>
    <font>
      <sz val="11"/>
      <name val="Microsoft YaHei UI"/>
      <family val="2"/>
      <charset val="134"/>
    </font>
    <font>
      <i/>
      <sz val="9"/>
      <color theme="1"/>
      <name val="Microsoft YaHei UI"/>
      <family val="2"/>
      <charset val="134"/>
    </font>
    <font>
      <b/>
      <sz val="12"/>
      <color theme="1" tint="0.34998626667073579"/>
      <name val="Microsoft YaHei UI"/>
      <family val="2"/>
      <charset val="134"/>
    </font>
    <font>
      <sz val="11"/>
      <color theme="1" tint="0.499984740745262"/>
      <name val="Microsoft YaHei UI"/>
      <family val="2"/>
      <charset val="134"/>
    </font>
    <font>
      <b/>
      <sz val="16"/>
      <color theme="4" tint="-0.249977111117893"/>
      <name val="Microsoft YaHei UI"/>
      <family val="2"/>
      <charset val="134"/>
    </font>
    <font>
      <sz val="20"/>
      <name val="Microsoft YaHei UI"/>
      <family val="2"/>
      <charset val="134"/>
    </font>
    <font>
      <sz val="11"/>
      <color rgb="FF1D2129"/>
      <name val="Microsoft YaHei UI"/>
      <family val="2"/>
      <charset val="134"/>
    </font>
    <font>
      <b/>
      <sz val="10"/>
      <name val="Microsoft YaHei UI"/>
      <family val="2"/>
      <charset val="134"/>
    </font>
  </fonts>
  <fills count="45">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right/>
      <top style="thin">
        <color theme="0" tint="-0.34998626667073579"/>
      </top>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bottom style="thin">
        <color theme="0" tint="-0.34998626667073579"/>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4">
    <xf numFmtId="0" fontId="0" fillId="0" borderId="0"/>
    <xf numFmtId="0" fontId="14" fillId="0" borderId="0" applyNumberFormat="0" applyFill="0" applyBorder="0" applyAlignment="0" applyProtection="0">
      <alignment vertical="top"/>
      <protection locked="0"/>
    </xf>
    <xf numFmtId="9" fontId="1" fillId="0" borderId="0" applyFont="0" applyFill="0" applyBorder="0" applyAlignment="0" applyProtection="0"/>
    <xf numFmtId="0" fontId="2" fillId="0" borderId="0"/>
    <xf numFmtId="177" fontId="1" fillId="0" borderId="3" applyFont="0" applyFill="0" applyAlignment="0" applyProtection="0"/>
    <xf numFmtId="0" fontId="6" fillId="0" borderId="0" applyNumberFormat="0" applyFill="0" applyBorder="0" applyAlignment="0" applyProtection="0"/>
    <xf numFmtId="0" fontId="7" fillId="0" borderId="0" applyNumberFormat="0" applyFill="0" applyAlignment="0" applyProtection="0"/>
    <xf numFmtId="0" fontId="7" fillId="0" borderId="0" applyNumberFormat="0" applyFill="0" applyProtection="0">
      <alignment vertical="top"/>
    </xf>
    <xf numFmtId="0" fontId="1" fillId="0" borderId="0" applyNumberFormat="0" applyFill="0" applyProtection="0">
      <alignment horizontal="right" indent="1"/>
    </xf>
    <xf numFmtId="183" fontId="1" fillId="0" borderId="3">
      <alignment horizontal="center" vertical="center"/>
    </xf>
    <xf numFmtId="181" fontId="1" fillId="0" borderId="2" applyFill="0">
      <alignment horizontal="center" vertical="center"/>
    </xf>
    <xf numFmtId="0" fontId="1" fillId="0" borderId="2" applyFill="0">
      <alignment horizontal="center" vertical="center"/>
    </xf>
    <xf numFmtId="0" fontId="1" fillId="0" borderId="2" applyFill="0">
      <alignment horizontal="left" vertical="center" indent="2"/>
    </xf>
    <xf numFmtId="0" fontId="5" fillId="0" borderId="0" applyNumberFormat="0" applyFill="0" applyBorder="0" applyAlignment="0" applyProtection="0"/>
    <xf numFmtId="176"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0" fontId="8" fillId="0" borderId="0" applyNumberFormat="0" applyFill="0" applyBorder="0" applyAlignment="0" applyProtection="0"/>
    <xf numFmtId="0" fontId="3" fillId="14" borderId="0" applyNumberFormat="0" applyBorder="0" applyAlignment="0" applyProtection="0"/>
    <xf numFmtId="0" fontId="4" fillId="15" borderId="0" applyNumberFormat="0" applyBorder="0" applyAlignment="0" applyProtection="0"/>
    <xf numFmtId="0" fontId="17" fillId="16" borderId="0" applyNumberFormat="0" applyBorder="0" applyAlignment="0" applyProtection="0"/>
    <xf numFmtId="0" fontId="15" fillId="17" borderId="11" applyNumberFormat="0" applyAlignment="0" applyProtection="0"/>
    <xf numFmtId="0" fontId="16" fillId="18" borderId="12" applyNumberFormat="0" applyAlignment="0" applyProtection="0"/>
    <xf numFmtId="0" fontId="13" fillId="18" borderId="11" applyNumberFormat="0" applyAlignment="0" applyProtection="0"/>
    <xf numFmtId="0" fontId="18" fillId="0" borderId="13" applyNumberFormat="0" applyFill="0" applyAlignment="0" applyProtection="0"/>
    <xf numFmtId="0" fontId="9" fillId="19" borderId="14" applyNumberFormat="0" applyAlignment="0" applyProtection="0"/>
    <xf numFmtId="0" fontId="12" fillId="0" borderId="0" applyNumberFormat="0" applyFill="0" applyBorder="0" applyAlignment="0" applyProtection="0"/>
    <xf numFmtId="0" fontId="1" fillId="20" borderId="15" applyNumberFormat="0" applyFont="0" applyAlignment="0" applyProtection="0"/>
    <xf numFmtId="0" fontId="11" fillId="0" borderId="0" applyNumberFormat="0" applyFill="0" applyBorder="0" applyAlignment="0" applyProtection="0"/>
    <xf numFmtId="0" fontId="10" fillId="0" borderId="16" applyNumberFormat="0" applyFill="0" applyAlignment="0" applyProtection="0"/>
    <xf numFmtId="0" fontId="2"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2"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2"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2" fillId="37" borderId="0" applyNumberFormat="0" applyBorder="0" applyAlignment="0" applyProtection="0"/>
    <xf numFmtId="0" fontId="1" fillId="38"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2" fillId="41" borderId="0" applyNumberFormat="0" applyBorder="0" applyAlignment="0" applyProtection="0"/>
    <xf numFmtId="0" fontId="1" fillId="42"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cellStyleXfs>
  <cellXfs count="93">
    <xf numFmtId="0" fontId="0" fillId="0" borderId="0" xfId="0"/>
    <xf numFmtId="181" fontId="1" fillId="3" borderId="2" xfId="10" applyFill="1">
      <alignment horizontal="center" vertical="center"/>
    </xf>
    <xf numFmtId="181" fontId="1" fillId="4" borderId="2" xfId="10" applyFill="1">
      <alignment horizontal="center" vertical="center"/>
    </xf>
    <xf numFmtId="181" fontId="1" fillId="11" borderId="2" xfId="10" applyFill="1">
      <alignment horizontal="center" vertical="center"/>
    </xf>
    <xf numFmtId="181" fontId="1" fillId="10" borderId="2" xfId="10" applyFill="1">
      <alignment horizontal="center" vertical="center"/>
    </xf>
    <xf numFmtId="0" fontId="19" fillId="0" borderId="0" xfId="0" applyFont="1" applyAlignment="1">
      <alignment horizontal="left"/>
    </xf>
    <xf numFmtId="0" fontId="20" fillId="0" borderId="0" xfId="0" applyFont="1"/>
    <xf numFmtId="0" fontId="20" fillId="0" borderId="0" xfId="0" applyFont="1" applyAlignment="1">
      <alignment horizontal="center"/>
    </xf>
    <xf numFmtId="0" fontId="20" fillId="0" borderId="0" xfId="0" applyFont="1" applyAlignment="1">
      <alignment horizontal="center" vertical="center"/>
    </xf>
    <xf numFmtId="0" fontId="21" fillId="0" borderId="0" xfId="0" applyFont="1"/>
    <xf numFmtId="0" fontId="22" fillId="0" borderId="0" xfId="1" applyFont="1" applyProtection="1">
      <alignment vertical="top"/>
    </xf>
    <xf numFmtId="0" fontId="24" fillId="13" borderId="1" xfId="0" applyFont="1" applyFill="1" applyBorder="1" applyAlignment="1">
      <alignment horizontal="left" vertical="center" indent="1"/>
    </xf>
    <xf numFmtId="0" fontId="24" fillId="13" borderId="1" xfId="0" applyFont="1" applyFill="1" applyBorder="1" applyAlignment="1">
      <alignment horizontal="center" vertical="center" wrapText="1"/>
    </xf>
    <xf numFmtId="0" fontId="25" fillId="12" borderId="8" xfId="0" applyFont="1" applyFill="1" applyBorder="1" applyAlignment="1">
      <alignment horizontal="center" vertical="center" shrinkToFit="1"/>
    </xf>
    <xf numFmtId="0" fontId="10" fillId="8" borderId="2" xfId="0" applyFont="1" applyFill="1" applyBorder="1" applyAlignment="1">
      <alignment horizontal="left" vertical="center" indent="1"/>
    </xf>
    <xf numFmtId="9" fontId="26" fillId="8" borderId="2" xfId="2" applyFont="1" applyFill="1" applyBorder="1" applyAlignment="1">
      <alignment horizontal="center" vertical="center"/>
    </xf>
    <xf numFmtId="0" fontId="26" fillId="0" borderId="2" xfId="0" applyFont="1" applyBorder="1" applyAlignment="1">
      <alignment horizontal="center" vertical="center"/>
    </xf>
    <xf numFmtId="9" fontId="26" fillId="3" borderId="2" xfId="2" applyFont="1" applyFill="1" applyBorder="1" applyAlignment="1">
      <alignment horizontal="center" vertical="center"/>
    </xf>
    <xf numFmtId="0" fontId="10" fillId="9" borderId="2" xfId="0" applyFont="1" applyFill="1" applyBorder="1" applyAlignment="1">
      <alignment horizontal="left" vertical="center" indent="1"/>
    </xf>
    <xf numFmtId="9" fontId="26" fillId="9" borderId="2" xfId="2" applyFont="1" applyFill="1" applyBorder="1" applyAlignment="1">
      <alignment horizontal="center" vertical="center"/>
    </xf>
    <xf numFmtId="9" fontId="26" fillId="4" borderId="2" xfId="2" applyFont="1" applyFill="1" applyBorder="1" applyAlignment="1">
      <alignment horizontal="center" vertical="center"/>
    </xf>
    <xf numFmtId="0" fontId="10" fillId="6" borderId="2" xfId="0" applyFont="1" applyFill="1" applyBorder="1" applyAlignment="1">
      <alignment horizontal="left" vertical="center" indent="1"/>
    </xf>
    <xf numFmtId="9" fontId="26" fillId="6" borderId="2" xfId="2" applyFont="1" applyFill="1" applyBorder="1" applyAlignment="1">
      <alignment horizontal="center" vertical="center"/>
    </xf>
    <xf numFmtId="9" fontId="26" fillId="11" borderId="2" xfId="2" applyFont="1" applyFill="1" applyBorder="1" applyAlignment="1">
      <alignment horizontal="center" vertical="center"/>
    </xf>
    <xf numFmtId="0" fontId="10" fillId="5" borderId="2" xfId="0" applyFont="1" applyFill="1" applyBorder="1" applyAlignment="1">
      <alignment horizontal="left" vertical="center" indent="1"/>
    </xf>
    <xf numFmtId="9" fontId="26" fillId="5" borderId="2" xfId="2" applyFont="1" applyFill="1" applyBorder="1" applyAlignment="1">
      <alignment horizontal="center" vertical="center"/>
    </xf>
    <xf numFmtId="9" fontId="26" fillId="10" borderId="2" xfId="2" applyFont="1" applyFill="1" applyBorder="1" applyAlignment="1">
      <alignment horizontal="center" vertical="center"/>
    </xf>
    <xf numFmtId="9" fontId="26" fillId="0" borderId="2" xfId="2" applyFont="1" applyBorder="1" applyAlignment="1">
      <alignment horizontal="center" vertical="center"/>
    </xf>
    <xf numFmtId="0" fontId="27" fillId="2" borderId="2" xfId="0" applyFont="1" applyFill="1" applyBorder="1" applyAlignment="1">
      <alignment horizontal="left" vertical="center" indent="1"/>
    </xf>
    <xf numFmtId="0" fontId="27" fillId="2" borderId="2" xfId="0" applyFont="1" applyFill="1" applyBorder="1" applyAlignment="1">
      <alignment horizontal="center" vertical="center"/>
    </xf>
    <xf numFmtId="9" fontId="26" fillId="2" borderId="2" xfId="2" applyFont="1" applyFill="1" applyBorder="1" applyAlignment="1">
      <alignment horizontal="center" vertical="center"/>
    </xf>
    <xf numFmtId="178" fontId="22" fillId="2" borderId="2" xfId="0" applyNumberFormat="1" applyFont="1" applyFill="1" applyBorder="1" applyAlignment="1">
      <alignment horizontal="left" vertical="center"/>
    </xf>
    <xf numFmtId="178" fontId="26" fillId="2" borderId="2" xfId="0" applyNumberFormat="1" applyFont="1" applyFill="1" applyBorder="1" applyAlignment="1">
      <alignment horizontal="center" vertical="center"/>
    </xf>
    <xf numFmtId="0" fontId="26" fillId="2" borderId="2" xfId="0" applyFont="1" applyFill="1" applyBorder="1" applyAlignment="1">
      <alignment horizontal="center" vertical="center"/>
    </xf>
    <xf numFmtId="0" fontId="2" fillId="0" borderId="0" xfId="0" applyFont="1" applyAlignment="1">
      <alignment horizontal="center"/>
    </xf>
    <xf numFmtId="0" fontId="22" fillId="0" borderId="0" xfId="1" applyFont="1" applyAlignment="1" applyProtection="1"/>
    <xf numFmtId="0" fontId="20" fillId="0" borderId="0" xfId="0" applyFont="1" applyAlignment="1">
      <alignment vertical="top"/>
    </xf>
    <xf numFmtId="0" fontId="28" fillId="0" borderId="0" xfId="0" applyFont="1" applyAlignment="1">
      <alignment horizontal="left" vertical="center"/>
    </xf>
    <xf numFmtId="0" fontId="29" fillId="0" borderId="0" xfId="0" applyFont="1" applyAlignment="1">
      <alignment vertical="top"/>
    </xf>
    <xf numFmtId="0" fontId="30" fillId="0" borderId="0" xfId="0" applyFont="1" applyAlignment="1">
      <alignment vertical="center"/>
    </xf>
    <xf numFmtId="0" fontId="31" fillId="0" borderId="0" xfId="0" applyFont="1"/>
    <xf numFmtId="0" fontId="32" fillId="0" borderId="0" xfId="0" applyFont="1" applyAlignment="1">
      <alignment horizontal="left" vertical="top" wrapText="1" indent="1"/>
    </xf>
    <xf numFmtId="0" fontId="2" fillId="0" borderId="0" xfId="3" applyAlignment="1">
      <alignment wrapText="1"/>
    </xf>
    <xf numFmtId="0" fontId="6" fillId="0" borderId="0" xfId="5" applyAlignment="1">
      <alignment horizontal="left"/>
    </xf>
    <xf numFmtId="0" fontId="1" fillId="0" borderId="0" xfId="0" applyFont="1"/>
    <xf numFmtId="0" fontId="2" fillId="0" borderId="0" xfId="3"/>
    <xf numFmtId="0" fontId="7" fillId="0" borderId="0" xfId="6"/>
    <xf numFmtId="0" fontId="1" fillId="0" borderId="0" xfId="0" applyFont="1" applyAlignment="1">
      <alignment horizontal="center"/>
    </xf>
    <xf numFmtId="0" fontId="7" fillId="0" borderId="0" xfId="7">
      <alignment vertical="top"/>
    </xf>
    <xf numFmtId="0" fontId="1" fillId="0" borderId="3" xfId="0" applyFont="1" applyBorder="1" applyAlignment="1">
      <alignment horizontal="center" vertical="center"/>
    </xf>
    <xf numFmtId="0" fontId="1" fillId="0" borderId="0" xfId="0" applyFont="1" applyAlignment="1">
      <alignment wrapText="1"/>
    </xf>
    <xf numFmtId="0" fontId="1" fillId="0" borderId="9" xfId="0" applyFont="1" applyBorder="1" applyAlignment="1">
      <alignment vertical="center"/>
    </xf>
    <xf numFmtId="0" fontId="1" fillId="8" borderId="2" xfId="11" applyFill="1">
      <alignment horizontal="center" vertical="center"/>
    </xf>
    <xf numFmtId="0" fontId="1" fillId="0" borderId="0" xfId="0" applyFont="1" applyAlignment="1">
      <alignment vertical="center"/>
    </xf>
    <xf numFmtId="0" fontId="1" fillId="3" borderId="2" xfId="12" applyFill="1">
      <alignment horizontal="left" vertical="center" indent="2"/>
    </xf>
    <xf numFmtId="0" fontId="1" fillId="3" borderId="2" xfId="11" applyFill="1">
      <alignment horizontal="center" vertical="center"/>
    </xf>
    <xf numFmtId="0" fontId="1" fillId="0" borderId="9" xfId="0" applyFont="1" applyBorder="1" applyAlignment="1">
      <alignment horizontal="right" vertical="center"/>
    </xf>
    <xf numFmtId="0" fontId="1" fillId="9" borderId="2" xfId="11" applyFill="1">
      <alignment horizontal="center" vertical="center"/>
    </xf>
    <xf numFmtId="0" fontId="1" fillId="4" borderId="2" xfId="12" applyFill="1">
      <alignment horizontal="left" vertical="center" indent="2"/>
    </xf>
    <xf numFmtId="0" fontId="1" fillId="4" borderId="2" xfId="11" applyFill="1">
      <alignment horizontal="center" vertical="center"/>
    </xf>
    <xf numFmtId="0" fontId="1" fillId="6" borderId="2" xfId="11" applyFill="1">
      <alignment horizontal="center" vertical="center"/>
    </xf>
    <xf numFmtId="0" fontId="1" fillId="11" borderId="2" xfId="12" applyFill="1">
      <alignment horizontal="left" vertical="center" indent="2"/>
    </xf>
    <xf numFmtId="0" fontId="1" fillId="11" borderId="2" xfId="11" applyFill="1">
      <alignment horizontal="center" vertical="center"/>
    </xf>
    <xf numFmtId="0" fontId="1" fillId="5" borderId="2" xfId="11" applyFill="1">
      <alignment horizontal="center" vertical="center"/>
    </xf>
    <xf numFmtId="0" fontId="1" fillId="10" borderId="2" xfId="12" applyFill="1">
      <alignment horizontal="left" vertical="center" indent="2"/>
    </xf>
    <xf numFmtId="0" fontId="1" fillId="10" borderId="2" xfId="11" applyFill="1">
      <alignment horizontal="center" vertical="center"/>
    </xf>
    <xf numFmtId="0" fontId="1" fillId="0" borderId="2" xfId="12">
      <alignment horizontal="left" vertical="center" indent="2"/>
    </xf>
    <xf numFmtId="0" fontId="1" fillId="0" borderId="2" xfId="11">
      <alignment horizontal="center" vertical="center"/>
    </xf>
    <xf numFmtId="181" fontId="1" fillId="0" borderId="2" xfId="10">
      <alignment horizontal="center" vertical="center"/>
    </xf>
    <xf numFmtId="0" fontId="1" fillId="2" borderId="9" xfId="0" applyFont="1" applyFill="1" applyBorder="1" applyAlignment="1">
      <alignment vertical="center"/>
    </xf>
    <xf numFmtId="0" fontId="1" fillId="0" borderId="0" xfId="0" applyFont="1" applyAlignment="1">
      <alignment horizontal="right" vertical="center"/>
    </xf>
    <xf numFmtId="0" fontId="33" fillId="0" borderId="0" xfId="0" applyFont="1" applyAlignment="1">
      <alignment horizontal="left" vertical="center"/>
    </xf>
    <xf numFmtId="0" fontId="20" fillId="0" borderId="0" xfId="0" applyFont="1" applyAlignment="1">
      <alignment horizontal="left" vertical="top"/>
    </xf>
    <xf numFmtId="0" fontId="0" fillId="0" borderId="0" xfId="0" applyAlignment="1">
      <alignment horizontal="left" vertical="top" wrapText="1" indent="1"/>
    </xf>
    <xf numFmtId="0" fontId="14" fillId="0" borderId="0" xfId="1" applyAlignment="1" applyProtection="1">
      <alignment horizontal="left" vertical="top" indent="1"/>
    </xf>
    <xf numFmtId="180" fontId="23" fillId="7" borderId="6" xfId="0" applyNumberFormat="1" applyFont="1" applyFill="1" applyBorder="1" applyAlignment="1">
      <alignment horizontal="center" vertical="center"/>
    </xf>
    <xf numFmtId="180" fontId="23" fillId="7" borderId="0" xfId="0" applyNumberFormat="1" applyFont="1" applyFill="1" applyAlignment="1">
      <alignment horizontal="center" vertical="center"/>
    </xf>
    <xf numFmtId="180" fontId="23" fillId="7" borderId="7" xfId="0" applyNumberFormat="1" applyFont="1" applyFill="1" applyBorder="1" applyAlignment="1">
      <alignment horizontal="center" vertical="center"/>
    </xf>
    <xf numFmtId="181" fontId="1" fillId="8" borderId="2" xfId="0" applyNumberFormat="1" applyFont="1" applyFill="1" applyBorder="1" applyAlignment="1">
      <alignment horizontal="center" vertical="center"/>
    </xf>
    <xf numFmtId="181" fontId="26" fillId="8" borderId="2" xfId="0" applyNumberFormat="1" applyFont="1" applyFill="1" applyBorder="1" applyAlignment="1">
      <alignment horizontal="center" vertical="center"/>
    </xf>
    <xf numFmtId="181" fontId="1" fillId="9" borderId="2" xfId="0" applyNumberFormat="1" applyFont="1" applyFill="1" applyBorder="1" applyAlignment="1">
      <alignment horizontal="center" vertical="center"/>
    </xf>
    <xf numFmtId="181" fontId="26" fillId="9" borderId="2" xfId="0" applyNumberFormat="1" applyFont="1" applyFill="1" applyBorder="1" applyAlignment="1">
      <alignment horizontal="center" vertical="center"/>
    </xf>
    <xf numFmtId="181" fontId="1" fillId="6" borderId="2" xfId="0" applyNumberFormat="1" applyFont="1" applyFill="1" applyBorder="1" applyAlignment="1">
      <alignment horizontal="center" vertical="center"/>
    </xf>
    <xf numFmtId="181" fontId="26" fillId="6" borderId="2" xfId="0" applyNumberFormat="1" applyFont="1" applyFill="1" applyBorder="1" applyAlignment="1">
      <alignment horizontal="center" vertical="center"/>
    </xf>
    <xf numFmtId="181" fontId="1" fillId="5" borderId="2" xfId="0" applyNumberFormat="1" applyFont="1" applyFill="1" applyBorder="1" applyAlignment="1">
      <alignment horizontal="center" vertical="center"/>
    </xf>
    <xf numFmtId="181" fontId="26" fillId="5" borderId="2" xfId="0" applyNumberFormat="1" applyFont="1" applyFill="1" applyBorder="1" applyAlignment="1">
      <alignment horizontal="center" vertical="center"/>
    </xf>
    <xf numFmtId="31" fontId="1" fillId="7" borderId="4" xfId="0" applyNumberFormat="1" applyFont="1" applyFill="1" applyBorder="1" applyAlignment="1">
      <alignment horizontal="left" vertical="center" wrapText="1" indent="1"/>
    </xf>
    <xf numFmtId="31" fontId="1" fillId="7" borderId="1" xfId="0" applyNumberFormat="1" applyFont="1" applyFill="1" applyBorder="1" applyAlignment="1">
      <alignment horizontal="left" vertical="center" wrapText="1" indent="1"/>
    </xf>
    <xf numFmtId="31" fontId="1" fillId="7" borderId="5" xfId="0" applyNumberFormat="1" applyFont="1" applyFill="1" applyBorder="1" applyAlignment="1">
      <alignment horizontal="left" vertical="center" wrapText="1" indent="1"/>
    </xf>
    <xf numFmtId="183" fontId="1" fillId="0" borderId="3" xfId="9">
      <alignment horizontal="center" vertical="center"/>
    </xf>
    <xf numFmtId="0" fontId="1" fillId="0" borderId="0" xfId="8">
      <alignment horizontal="right" indent="1"/>
    </xf>
    <xf numFmtId="0" fontId="1" fillId="0" borderId="7" xfId="8" applyBorder="1">
      <alignment horizontal="right" indent="1"/>
    </xf>
    <xf numFmtId="0" fontId="1" fillId="0" borderId="10" xfId="0" applyFont="1" applyBorder="1"/>
  </cellXfs>
  <cellStyles count="54">
    <cellStyle name="20% - 着色 1" xfId="31" builtinId="30" customBuiltin="1"/>
    <cellStyle name="20% - 着色 2" xfId="35" builtinId="34" customBuiltin="1"/>
    <cellStyle name="20% - 着色 3" xfId="39" builtinId="38" customBuiltin="1"/>
    <cellStyle name="20% - 着色 4" xfId="43" builtinId="42" customBuiltin="1"/>
    <cellStyle name="20% - 着色 5" xfId="47" builtinId="46" customBuiltin="1"/>
    <cellStyle name="20% - 着色 6" xfId="51" builtinId="50" customBuiltin="1"/>
    <cellStyle name="40% - 着色 1" xfId="32" builtinId="31" customBuiltin="1"/>
    <cellStyle name="40% - 着色 2" xfId="36" builtinId="35" customBuiltin="1"/>
    <cellStyle name="40% - 着色 3" xfId="40" builtinId="39" customBuiltin="1"/>
    <cellStyle name="40% - 着色 4" xfId="44" builtinId="43" customBuiltin="1"/>
    <cellStyle name="40% - 着色 5" xfId="48" builtinId="47" customBuiltin="1"/>
    <cellStyle name="40% - 着色 6" xfId="52" builtinId="51" customBuiltin="1"/>
    <cellStyle name="60% - 着色 1" xfId="33" builtinId="32" customBuiltin="1"/>
    <cellStyle name="60% - 着色 2" xfId="37" builtinId="36" customBuiltin="1"/>
    <cellStyle name="60% - 着色 3" xfId="41" builtinId="40" customBuiltin="1"/>
    <cellStyle name="60% - 着色 4" xfId="45" builtinId="44" customBuiltin="1"/>
    <cellStyle name="60% - 着色 5" xfId="49" builtinId="48" customBuiltin="1"/>
    <cellStyle name="60% - 着色 6" xfId="53" builtinId="52" customBuiltin="1"/>
    <cellStyle name="z隐藏文本" xfId="3" xr:uid="{00000000-0005-0000-0000-00000C000000}"/>
    <cellStyle name="百分比" xfId="2" builtinId="5" customBuiltin="1"/>
    <cellStyle name="标题" xfId="5" builtinId="15" customBuiltin="1"/>
    <cellStyle name="标题 1" xfId="6" builtinId="16" customBuiltin="1"/>
    <cellStyle name="标题 2" xfId="7" builtinId="17" customBuiltin="1"/>
    <cellStyle name="标题 3" xfId="8" builtinId="18" customBuiltin="1"/>
    <cellStyle name="标题 4" xfId="17" builtinId="19" customBuiltin="1"/>
    <cellStyle name="差" xfId="19" builtinId="27" customBuiltin="1"/>
    <cellStyle name="常规" xfId="0" builtinId="0" customBuiltin="1"/>
    <cellStyle name="超链接" xfId="1" builtinId="8" customBuiltin="1"/>
    <cellStyle name="好" xfId="18" builtinId="26" customBuiltin="1"/>
    <cellStyle name="汇总" xfId="29" builtinId="25" customBuiltin="1"/>
    <cellStyle name="货币" xfId="15" builtinId="4" customBuiltin="1"/>
    <cellStyle name="货币[0]" xfId="16" builtinId="7" customBuiltin="1"/>
    <cellStyle name="计算" xfId="23" builtinId="22" customBuiltin="1"/>
    <cellStyle name="检查单元格" xfId="25" builtinId="23" customBuiltin="1"/>
    <cellStyle name="解释性文本" xfId="28" builtinId="53" customBuiltin="1"/>
    <cellStyle name="警告文本" xfId="26" builtinId="11" customBuiltin="1"/>
    <cellStyle name="链接单元格" xfId="24" builtinId="24" customBuiltin="1"/>
    <cellStyle name="千位分隔" xfId="4" builtinId="3" customBuiltin="1"/>
    <cellStyle name="千位分隔[0]" xfId="14" builtinId="6" customBuiltin="1"/>
    <cellStyle name="任务" xfId="12" xr:uid="{00000000-0005-0000-0000-00000A000000}"/>
    <cellStyle name="日期" xfId="10" xr:uid="{00000000-0005-0000-0000-000001000000}"/>
    <cellStyle name="适中" xfId="20" builtinId="28" customBuiltin="1"/>
    <cellStyle name="输出" xfId="22" builtinId="21" customBuiltin="1"/>
    <cellStyle name="输入" xfId="21" builtinId="20" customBuiltin="1"/>
    <cellStyle name="项目开始" xfId="9" xr:uid="{00000000-0005-0000-0000-000009000000}"/>
    <cellStyle name="姓名" xfId="11" xr:uid="{00000000-0005-0000-0000-000006000000}"/>
    <cellStyle name="已访问的超链接" xfId="13" builtinId="9" customBuiltin="1"/>
    <cellStyle name="着色 1" xfId="30" builtinId="29" customBuiltin="1"/>
    <cellStyle name="着色 2" xfId="34" builtinId="33" customBuiltin="1"/>
    <cellStyle name="着色 3" xfId="38" builtinId="37" customBuiltin="1"/>
    <cellStyle name="着色 4" xfId="42" builtinId="41" customBuiltin="1"/>
    <cellStyle name="着色 5" xfId="46" builtinId="45" customBuiltin="1"/>
    <cellStyle name="着色 6" xfId="50" builtinId="49" customBuiltin="1"/>
    <cellStyle name="注释" xfId="27" builtinId="10" customBuiltin="1"/>
  </cellStyles>
  <dxfs count="12">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s>
  <tableStyles count="1" defaultTableStyle="TableStyleMedium2" defaultPivotStyle="PivotStyleLight16">
    <tableStyle name="待办事项列表" pivot="0" count="9" xr9:uid="{00000000-0011-0000-FFFF-FFFF00000000}">
      <tableStyleElement type="wholeTable" dxfId="11"/>
      <tableStyleElement type="headerRow" dxfId="10"/>
      <tableStyleElement type="totalRow" dxfId="9"/>
      <tableStyleElement type="firstColumn" dxfId="8"/>
      <tableStyleElement type="lastColumn" dxfId="7"/>
      <tableStyleElement type="firstRowStripe" dxfId="6"/>
      <tableStyleElement type="secondRowStripe" dxfId="5"/>
      <tableStyleElement type="firstColumnStripe" dxfId="4"/>
      <tableStyleElement type="secondColumnStripe" dxfId="3"/>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215881"/>
      <color rgb="FF42648A"/>
      <color rgb="FF969696"/>
      <color rgb="FFC0C0C0"/>
      <color rgb="FF427FC2"/>
      <color rgb="FF44678E"/>
      <color rgb="FF4A6F9C"/>
      <color rgb="FF3969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www.vertex42.com/ExcelTemplates/simple-gantt-chart.html?utm_source=ms&amp;utm_medium=file&amp;utm_campaign=office&amp;utm_content=logo" TargetMode="Externa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95250</xdr:rowOff>
    </xdr:from>
    <xdr:to>
      <xdr:col>0</xdr:col>
      <xdr:colOff>1905000</xdr:colOff>
      <xdr:row>0</xdr:row>
      <xdr:rowOff>523875</xdr:rowOff>
    </xdr:to>
    <xdr:pic>
      <xdr:nvPicPr>
        <xdr:cNvPr id="2" name="图片 1" descr="Vertex42 徽标">
          <a:hlinkClick xmlns:r="http://schemas.openxmlformats.org/officeDocument/2006/relationships" r:id="rId1"/>
          <a:extLst>
            <a:ext uri="{FF2B5EF4-FFF2-40B4-BE49-F238E27FC236}">
              <a16:creationId xmlns:a16="http://schemas.microsoft.com/office/drawing/2014/main" id="{F8638EF3-2DAE-40BC-A45A-2B8C536FAB0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0500" y="95250"/>
          <a:ext cx="1905000" cy="428625"/>
        </a:xfrm>
        <a:prstGeom prst="rect">
          <a:avLst/>
        </a:prstGeom>
      </xdr:spPr>
    </xdr:pic>
    <xdr:clientData/>
  </xdr:twoCellAnchor>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www.vertex42.com/ExcelTemplates/simple-gantt-chart.html?utm_source=ms&amp;utm_medium=file&amp;utm_campaign=office&amp;utm_content=url" TargetMode="External"/><Relationship Id="rId2" Type="http://schemas.openxmlformats.org/officeDocument/2006/relationships/hyperlink" Target="https://www.vertex42.com/ExcelTemplates/simple-gantt-chart.html?utm_source=ms&amp;utm_medium=file&amp;utm_campaign=office&amp;utm_content=help" TargetMode="External"/><Relationship Id="rId1" Type="http://schemas.openxmlformats.org/officeDocument/2006/relationships/hyperlink" Target="https://www.vertex42.com/ExcelTemplates/excel-project-management.html?utm_source=ms&amp;utm_medium=file&amp;utm_campaign=office&amp;utm_content=text" TargetMode="External"/><Relationship Id="rId6" Type="http://schemas.openxmlformats.org/officeDocument/2006/relationships/drawing" Target="../drawings/drawing1.xml"/><Relationship Id="rId5" Type="http://schemas.openxmlformats.org/officeDocument/2006/relationships/printerSettings" Target="../printerSettings/printerSettings2.bin"/><Relationship Id="rId4" Type="http://schemas.openxmlformats.org/officeDocument/2006/relationships/hyperlink" Target="https://www.vertex42.com/ExcelTemplates/simple-gantt-chart.html?utm_source=ms&amp;utm_medium=file&amp;utm_campaign=office&amp;utm_content=tex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L36"/>
  <sheetViews>
    <sheetView showGridLines="0" tabSelected="1" showRuler="0" zoomScaleNormal="100" zoomScalePageLayoutView="70" workbookViewId="0">
      <pane ySplit="6" topLeftCell="A7" activePane="bottomLeft" state="frozen"/>
      <selection pane="bottomLeft"/>
    </sheetView>
  </sheetViews>
  <sheetFormatPr defaultRowHeight="30" customHeight="1" x14ac:dyDescent="0.3"/>
  <cols>
    <col min="1" max="1" width="2.77734375" style="45" customWidth="1"/>
    <col min="2" max="2" width="19.88671875" style="44" customWidth="1"/>
    <col min="3" max="3" width="23.77734375" style="44" customWidth="1"/>
    <col min="4" max="4" width="10.77734375" style="44" customWidth="1"/>
    <col min="5" max="5" width="10.5546875" style="47" customWidth="1"/>
    <col min="6" max="6" width="10.5546875" style="44" customWidth="1"/>
    <col min="7" max="7" width="2.77734375" style="44" customWidth="1"/>
    <col min="8" max="8" width="6.21875" style="44" hidden="1" customWidth="1"/>
    <col min="9" max="64" width="2.6640625" style="44" customWidth="1"/>
    <col min="65" max="65" width="8.88671875" style="44"/>
    <col min="66" max="68" width="7.33203125" style="44"/>
    <col min="69" max="70" width="8.6640625" style="44"/>
    <col min="71" max="16384" width="8.88671875" style="44"/>
  </cols>
  <sheetData>
    <row r="1" spans="1:64" ht="30" customHeight="1" x14ac:dyDescent="0.55000000000000004">
      <c r="A1" s="42" t="s">
        <v>0</v>
      </c>
      <c r="B1" s="43" t="s">
        <v>14</v>
      </c>
      <c r="C1" s="5"/>
      <c r="D1" s="6"/>
      <c r="E1" s="7"/>
      <c r="F1" s="8"/>
      <c r="H1" s="6"/>
      <c r="I1" s="9" t="s">
        <v>37</v>
      </c>
    </row>
    <row r="2" spans="1:64" ht="30" customHeight="1" x14ac:dyDescent="0.35">
      <c r="A2" s="45" t="s">
        <v>1</v>
      </c>
      <c r="B2" s="46" t="s">
        <v>15</v>
      </c>
      <c r="I2" s="10" t="s">
        <v>38</v>
      </c>
    </row>
    <row r="3" spans="1:64" ht="30" customHeight="1" x14ac:dyDescent="0.3">
      <c r="A3" s="45" t="s">
        <v>2</v>
      </c>
      <c r="B3" s="48" t="s">
        <v>16</v>
      </c>
      <c r="C3" s="90" t="s">
        <v>28</v>
      </c>
      <c r="D3" s="91"/>
      <c r="E3" s="89">
        <f ca="1">TODAY()</f>
        <v>43553</v>
      </c>
      <c r="F3" s="89"/>
    </row>
    <row r="4" spans="1:64" ht="30" customHeight="1" x14ac:dyDescent="0.3">
      <c r="A4" s="42" t="s">
        <v>3</v>
      </c>
      <c r="C4" s="90" t="s">
        <v>29</v>
      </c>
      <c r="D4" s="91"/>
      <c r="E4" s="49">
        <v>1</v>
      </c>
      <c r="I4" s="86">
        <f ca="1">I5</f>
        <v>43548</v>
      </c>
      <c r="J4" s="87"/>
      <c r="K4" s="87"/>
      <c r="L4" s="87"/>
      <c r="M4" s="87"/>
      <c r="N4" s="87"/>
      <c r="O4" s="88"/>
      <c r="P4" s="86">
        <f ca="1">P5</f>
        <v>43555</v>
      </c>
      <c r="Q4" s="87"/>
      <c r="R4" s="87"/>
      <c r="S4" s="87"/>
      <c r="T4" s="87"/>
      <c r="U4" s="87"/>
      <c r="V4" s="88"/>
      <c r="W4" s="86">
        <f ca="1">W5</f>
        <v>43562</v>
      </c>
      <c r="X4" s="87"/>
      <c r="Y4" s="87"/>
      <c r="Z4" s="87"/>
      <c r="AA4" s="87"/>
      <c r="AB4" s="87"/>
      <c r="AC4" s="88"/>
      <c r="AD4" s="86">
        <f ca="1">AD5</f>
        <v>43569</v>
      </c>
      <c r="AE4" s="87"/>
      <c r="AF4" s="87"/>
      <c r="AG4" s="87"/>
      <c r="AH4" s="87"/>
      <c r="AI4" s="87"/>
      <c r="AJ4" s="88"/>
      <c r="AK4" s="86">
        <f ca="1">AK5</f>
        <v>43576</v>
      </c>
      <c r="AL4" s="87"/>
      <c r="AM4" s="87"/>
      <c r="AN4" s="87"/>
      <c r="AO4" s="87"/>
      <c r="AP4" s="87"/>
      <c r="AQ4" s="88"/>
      <c r="AR4" s="86">
        <f ca="1">AR5</f>
        <v>43583</v>
      </c>
      <c r="AS4" s="87"/>
      <c r="AT4" s="87"/>
      <c r="AU4" s="87"/>
      <c r="AV4" s="87"/>
      <c r="AW4" s="87"/>
      <c r="AX4" s="88"/>
      <c r="AY4" s="86">
        <f ca="1">AY5</f>
        <v>43590</v>
      </c>
      <c r="AZ4" s="87"/>
      <c r="BA4" s="87"/>
      <c r="BB4" s="87"/>
      <c r="BC4" s="87"/>
      <c r="BD4" s="87"/>
      <c r="BE4" s="88"/>
      <c r="BF4" s="86">
        <f ca="1">BF5</f>
        <v>43597</v>
      </c>
      <c r="BG4" s="87"/>
      <c r="BH4" s="87"/>
      <c r="BI4" s="87"/>
      <c r="BJ4" s="87"/>
      <c r="BK4" s="87"/>
      <c r="BL4" s="88"/>
    </row>
    <row r="5" spans="1:64" ht="15" customHeight="1" x14ac:dyDescent="0.3">
      <c r="A5" s="42" t="s">
        <v>4</v>
      </c>
      <c r="B5" s="92"/>
      <c r="C5" s="92"/>
      <c r="D5" s="92"/>
      <c r="E5" s="92"/>
      <c r="F5" s="92"/>
      <c r="G5" s="92"/>
      <c r="I5" s="75">
        <f ca="1">Project_Start-WEEKDAY(Project_Start,1)+1+7*(Display_Week-1)</f>
        <v>43548</v>
      </c>
      <c r="J5" s="76">
        <f ca="1">I5+1</f>
        <v>43549</v>
      </c>
      <c r="K5" s="76">
        <f t="shared" ref="K5:AX5" ca="1" si="0">J5+1</f>
        <v>43550</v>
      </c>
      <c r="L5" s="76">
        <f t="shared" ca="1" si="0"/>
        <v>43551</v>
      </c>
      <c r="M5" s="76">
        <f t="shared" ca="1" si="0"/>
        <v>43552</v>
      </c>
      <c r="N5" s="76">
        <f t="shared" ca="1" si="0"/>
        <v>43553</v>
      </c>
      <c r="O5" s="77">
        <f t="shared" ca="1" si="0"/>
        <v>43554</v>
      </c>
      <c r="P5" s="75">
        <f ca="1">O5+1</f>
        <v>43555</v>
      </c>
      <c r="Q5" s="76">
        <f ca="1">P5+1</f>
        <v>43556</v>
      </c>
      <c r="R5" s="76">
        <f t="shared" ca="1" si="0"/>
        <v>43557</v>
      </c>
      <c r="S5" s="76">
        <f t="shared" ca="1" si="0"/>
        <v>43558</v>
      </c>
      <c r="T5" s="76">
        <f t="shared" ca="1" si="0"/>
        <v>43559</v>
      </c>
      <c r="U5" s="76">
        <f t="shared" ca="1" si="0"/>
        <v>43560</v>
      </c>
      <c r="V5" s="77">
        <f t="shared" ca="1" si="0"/>
        <v>43561</v>
      </c>
      <c r="W5" s="75">
        <f ca="1">V5+1</f>
        <v>43562</v>
      </c>
      <c r="X5" s="76">
        <f ca="1">W5+1</f>
        <v>43563</v>
      </c>
      <c r="Y5" s="76">
        <f t="shared" ca="1" si="0"/>
        <v>43564</v>
      </c>
      <c r="Z5" s="76">
        <f t="shared" ca="1" si="0"/>
        <v>43565</v>
      </c>
      <c r="AA5" s="76">
        <f t="shared" ca="1" si="0"/>
        <v>43566</v>
      </c>
      <c r="AB5" s="76">
        <f t="shared" ca="1" si="0"/>
        <v>43567</v>
      </c>
      <c r="AC5" s="77">
        <f t="shared" ca="1" si="0"/>
        <v>43568</v>
      </c>
      <c r="AD5" s="75">
        <f ca="1">AC5+1</f>
        <v>43569</v>
      </c>
      <c r="AE5" s="76">
        <f ca="1">AD5+1</f>
        <v>43570</v>
      </c>
      <c r="AF5" s="76">
        <f t="shared" ca="1" si="0"/>
        <v>43571</v>
      </c>
      <c r="AG5" s="76">
        <f t="shared" ca="1" si="0"/>
        <v>43572</v>
      </c>
      <c r="AH5" s="76">
        <f t="shared" ca="1" si="0"/>
        <v>43573</v>
      </c>
      <c r="AI5" s="76">
        <f t="shared" ca="1" si="0"/>
        <v>43574</v>
      </c>
      <c r="AJ5" s="77">
        <f t="shared" ca="1" si="0"/>
        <v>43575</v>
      </c>
      <c r="AK5" s="75">
        <f ca="1">AJ5+1</f>
        <v>43576</v>
      </c>
      <c r="AL5" s="76">
        <f ca="1">AK5+1</f>
        <v>43577</v>
      </c>
      <c r="AM5" s="76">
        <f t="shared" ca="1" si="0"/>
        <v>43578</v>
      </c>
      <c r="AN5" s="76">
        <f t="shared" ca="1" si="0"/>
        <v>43579</v>
      </c>
      <c r="AO5" s="76">
        <f t="shared" ca="1" si="0"/>
        <v>43580</v>
      </c>
      <c r="AP5" s="76">
        <f t="shared" ca="1" si="0"/>
        <v>43581</v>
      </c>
      <c r="AQ5" s="77">
        <f t="shared" ca="1" si="0"/>
        <v>43582</v>
      </c>
      <c r="AR5" s="75">
        <f ca="1">AQ5+1</f>
        <v>43583</v>
      </c>
      <c r="AS5" s="76">
        <f ca="1">AR5+1</f>
        <v>43584</v>
      </c>
      <c r="AT5" s="76">
        <f t="shared" ca="1" si="0"/>
        <v>43585</v>
      </c>
      <c r="AU5" s="76">
        <f t="shared" ca="1" si="0"/>
        <v>43586</v>
      </c>
      <c r="AV5" s="76">
        <f t="shared" ca="1" si="0"/>
        <v>43587</v>
      </c>
      <c r="AW5" s="76">
        <f t="shared" ca="1" si="0"/>
        <v>43588</v>
      </c>
      <c r="AX5" s="77">
        <f t="shared" ca="1" si="0"/>
        <v>43589</v>
      </c>
      <c r="AY5" s="75">
        <f ca="1">AX5+1</f>
        <v>43590</v>
      </c>
      <c r="AZ5" s="76">
        <f ca="1">AY5+1</f>
        <v>43591</v>
      </c>
      <c r="BA5" s="76">
        <f t="shared" ref="BA5:BE5" ca="1" si="1">AZ5+1</f>
        <v>43592</v>
      </c>
      <c r="BB5" s="76">
        <f t="shared" ca="1" si="1"/>
        <v>43593</v>
      </c>
      <c r="BC5" s="76">
        <f t="shared" ca="1" si="1"/>
        <v>43594</v>
      </c>
      <c r="BD5" s="76">
        <f t="shared" ca="1" si="1"/>
        <v>43595</v>
      </c>
      <c r="BE5" s="77">
        <f t="shared" ca="1" si="1"/>
        <v>43596</v>
      </c>
      <c r="BF5" s="75">
        <f ca="1">BE5+1</f>
        <v>43597</v>
      </c>
      <c r="BG5" s="76">
        <f ca="1">BF5+1</f>
        <v>43598</v>
      </c>
      <c r="BH5" s="76">
        <f t="shared" ref="BH5:BL5" ca="1" si="2">BG5+1</f>
        <v>43599</v>
      </c>
      <c r="BI5" s="76">
        <f t="shared" ca="1" si="2"/>
        <v>43600</v>
      </c>
      <c r="BJ5" s="76">
        <f t="shared" ca="1" si="2"/>
        <v>43601</v>
      </c>
      <c r="BK5" s="76">
        <f t="shared" ca="1" si="2"/>
        <v>43602</v>
      </c>
      <c r="BL5" s="77">
        <f t="shared" ca="1" si="2"/>
        <v>43603</v>
      </c>
    </row>
    <row r="6" spans="1:64" ht="30" customHeight="1" thickBot="1" x14ac:dyDescent="0.35">
      <c r="A6" s="42" t="s">
        <v>5</v>
      </c>
      <c r="B6" s="11" t="s">
        <v>17</v>
      </c>
      <c r="C6" s="12" t="s">
        <v>30</v>
      </c>
      <c r="D6" s="12" t="s">
        <v>32</v>
      </c>
      <c r="E6" s="12" t="s">
        <v>33</v>
      </c>
      <c r="F6" s="12" t="s">
        <v>35</v>
      </c>
      <c r="G6" s="12"/>
      <c r="H6" s="12" t="s">
        <v>36</v>
      </c>
      <c r="I6" s="13" t="str">
        <f t="shared" ref="I6:AN6" ca="1" si="3">LEFT(TEXT(I5,"aaa"),1)</f>
        <v>日</v>
      </c>
      <c r="J6" s="13" t="str">
        <f t="shared" ca="1" si="3"/>
        <v>一</v>
      </c>
      <c r="K6" s="13" t="str">
        <f t="shared" ca="1" si="3"/>
        <v>二</v>
      </c>
      <c r="L6" s="13" t="str">
        <f t="shared" ca="1" si="3"/>
        <v>三</v>
      </c>
      <c r="M6" s="13" t="str">
        <f t="shared" ca="1" si="3"/>
        <v>四</v>
      </c>
      <c r="N6" s="13" t="str">
        <f t="shared" ca="1" si="3"/>
        <v>五</v>
      </c>
      <c r="O6" s="13" t="str">
        <f t="shared" ca="1" si="3"/>
        <v>六</v>
      </c>
      <c r="P6" s="13" t="str">
        <f t="shared" ca="1" si="3"/>
        <v>日</v>
      </c>
      <c r="Q6" s="13" t="str">
        <f t="shared" ca="1" si="3"/>
        <v>一</v>
      </c>
      <c r="R6" s="13" t="str">
        <f t="shared" ca="1" si="3"/>
        <v>二</v>
      </c>
      <c r="S6" s="13" t="str">
        <f t="shared" ca="1" si="3"/>
        <v>三</v>
      </c>
      <c r="T6" s="13" t="str">
        <f t="shared" ca="1" si="3"/>
        <v>四</v>
      </c>
      <c r="U6" s="13" t="str">
        <f t="shared" ca="1" si="3"/>
        <v>五</v>
      </c>
      <c r="V6" s="13" t="str">
        <f t="shared" ca="1" si="3"/>
        <v>六</v>
      </c>
      <c r="W6" s="13" t="str">
        <f t="shared" ca="1" si="3"/>
        <v>日</v>
      </c>
      <c r="X6" s="13" t="str">
        <f t="shared" ca="1" si="3"/>
        <v>一</v>
      </c>
      <c r="Y6" s="13" t="str">
        <f t="shared" ca="1" si="3"/>
        <v>二</v>
      </c>
      <c r="Z6" s="13" t="str">
        <f t="shared" ca="1" si="3"/>
        <v>三</v>
      </c>
      <c r="AA6" s="13" t="str">
        <f t="shared" ca="1" si="3"/>
        <v>四</v>
      </c>
      <c r="AB6" s="13" t="str">
        <f t="shared" ca="1" si="3"/>
        <v>五</v>
      </c>
      <c r="AC6" s="13" t="str">
        <f t="shared" ca="1" si="3"/>
        <v>六</v>
      </c>
      <c r="AD6" s="13" t="str">
        <f t="shared" ca="1" si="3"/>
        <v>日</v>
      </c>
      <c r="AE6" s="13" t="str">
        <f t="shared" ca="1" si="3"/>
        <v>一</v>
      </c>
      <c r="AF6" s="13" t="str">
        <f t="shared" ca="1" si="3"/>
        <v>二</v>
      </c>
      <c r="AG6" s="13" t="str">
        <f t="shared" ca="1" si="3"/>
        <v>三</v>
      </c>
      <c r="AH6" s="13" t="str">
        <f t="shared" ca="1" si="3"/>
        <v>四</v>
      </c>
      <c r="AI6" s="13" t="str">
        <f t="shared" ca="1" si="3"/>
        <v>五</v>
      </c>
      <c r="AJ6" s="13" t="str">
        <f t="shared" ca="1" si="3"/>
        <v>六</v>
      </c>
      <c r="AK6" s="13" t="str">
        <f t="shared" ca="1" si="3"/>
        <v>日</v>
      </c>
      <c r="AL6" s="13" t="str">
        <f t="shared" ca="1" si="3"/>
        <v>一</v>
      </c>
      <c r="AM6" s="13" t="str">
        <f t="shared" ca="1" si="3"/>
        <v>二</v>
      </c>
      <c r="AN6" s="13" t="str">
        <f t="shared" ca="1" si="3"/>
        <v>三</v>
      </c>
      <c r="AO6" s="13" t="str">
        <f t="shared" ref="AO6:BT6" ca="1" si="4">LEFT(TEXT(AO5,"aaa"),1)</f>
        <v>四</v>
      </c>
      <c r="AP6" s="13" t="str">
        <f t="shared" ca="1" si="4"/>
        <v>五</v>
      </c>
      <c r="AQ6" s="13" t="str">
        <f t="shared" ca="1" si="4"/>
        <v>六</v>
      </c>
      <c r="AR6" s="13" t="str">
        <f t="shared" ca="1" si="4"/>
        <v>日</v>
      </c>
      <c r="AS6" s="13" t="str">
        <f t="shared" ca="1" si="4"/>
        <v>一</v>
      </c>
      <c r="AT6" s="13" t="str">
        <f t="shared" ca="1" si="4"/>
        <v>二</v>
      </c>
      <c r="AU6" s="13" t="str">
        <f t="shared" ca="1" si="4"/>
        <v>三</v>
      </c>
      <c r="AV6" s="13" t="str">
        <f t="shared" ca="1" si="4"/>
        <v>四</v>
      </c>
      <c r="AW6" s="13" t="str">
        <f t="shared" ca="1" si="4"/>
        <v>五</v>
      </c>
      <c r="AX6" s="13" t="str">
        <f t="shared" ca="1" si="4"/>
        <v>六</v>
      </c>
      <c r="AY6" s="13" t="str">
        <f t="shared" ca="1" si="4"/>
        <v>日</v>
      </c>
      <c r="AZ6" s="13" t="str">
        <f t="shared" ca="1" si="4"/>
        <v>一</v>
      </c>
      <c r="BA6" s="13" t="str">
        <f t="shared" ca="1" si="4"/>
        <v>二</v>
      </c>
      <c r="BB6" s="13" t="str">
        <f t="shared" ca="1" si="4"/>
        <v>三</v>
      </c>
      <c r="BC6" s="13" t="str">
        <f t="shared" ca="1" si="4"/>
        <v>四</v>
      </c>
      <c r="BD6" s="13" t="str">
        <f t="shared" ca="1" si="4"/>
        <v>五</v>
      </c>
      <c r="BE6" s="13" t="str">
        <f t="shared" ca="1" si="4"/>
        <v>六</v>
      </c>
      <c r="BF6" s="13" t="str">
        <f t="shared" ca="1" si="4"/>
        <v>日</v>
      </c>
      <c r="BG6" s="13" t="str">
        <f t="shared" ca="1" si="4"/>
        <v>一</v>
      </c>
      <c r="BH6" s="13" t="str">
        <f t="shared" ca="1" si="4"/>
        <v>二</v>
      </c>
      <c r="BI6" s="13" t="str">
        <f t="shared" ca="1" si="4"/>
        <v>三</v>
      </c>
      <c r="BJ6" s="13" t="str">
        <f t="shared" ca="1" si="4"/>
        <v>四</v>
      </c>
      <c r="BK6" s="13" t="str">
        <f t="shared" ca="1" si="4"/>
        <v>五</v>
      </c>
      <c r="BL6" s="13" t="str">
        <f t="shared" ca="1" si="4"/>
        <v>六</v>
      </c>
    </row>
    <row r="7" spans="1:64" ht="30" hidden="1" customHeight="1" thickBot="1" x14ac:dyDescent="0.35">
      <c r="A7" s="45" t="s">
        <v>6</v>
      </c>
      <c r="C7" s="50"/>
      <c r="E7" s="44"/>
      <c r="H7" s="44" t="str">
        <f>IF(OR(ISBLANK(task_start),ISBLANK(task_end)),"",task_end-task_start+1)</f>
        <v/>
      </c>
      <c r="I7" s="51"/>
      <c r="J7" s="51"/>
      <c r="K7" s="51"/>
      <c r="L7" s="51"/>
      <c r="M7" s="51"/>
      <c r="N7" s="51"/>
      <c r="O7" s="51"/>
      <c r="P7" s="51"/>
      <c r="Q7" s="51"/>
      <c r="R7" s="51"/>
      <c r="S7" s="51"/>
      <c r="T7" s="51"/>
      <c r="U7" s="51"/>
      <c r="V7" s="51"/>
      <c r="W7" s="51"/>
      <c r="X7" s="51"/>
      <c r="Y7" s="51"/>
      <c r="Z7" s="51"/>
      <c r="AA7" s="51"/>
      <c r="AB7" s="51"/>
      <c r="AC7" s="51"/>
      <c r="AD7" s="51"/>
      <c r="AE7" s="51"/>
      <c r="AF7" s="51"/>
      <c r="AG7" s="51"/>
      <c r="AH7" s="51"/>
      <c r="AI7" s="51"/>
      <c r="AJ7" s="51"/>
      <c r="AK7" s="51"/>
      <c r="AL7" s="51"/>
      <c r="AM7" s="51"/>
      <c r="AN7" s="51"/>
      <c r="AO7" s="51"/>
      <c r="AP7" s="51"/>
      <c r="AQ7" s="51"/>
      <c r="AR7" s="51"/>
      <c r="AS7" s="51"/>
      <c r="AT7" s="51"/>
      <c r="AU7" s="51"/>
      <c r="AV7" s="51"/>
      <c r="AW7" s="51"/>
      <c r="AX7" s="51"/>
      <c r="AY7" s="51"/>
      <c r="AZ7" s="51"/>
      <c r="BA7" s="51"/>
      <c r="BB7" s="51"/>
      <c r="BC7" s="51"/>
      <c r="BD7" s="51"/>
      <c r="BE7" s="51"/>
      <c r="BF7" s="51"/>
      <c r="BG7" s="51"/>
      <c r="BH7" s="51"/>
      <c r="BI7" s="51"/>
      <c r="BJ7" s="51"/>
      <c r="BK7" s="51"/>
      <c r="BL7" s="51"/>
    </row>
    <row r="8" spans="1:64" s="53" customFormat="1" ht="30" customHeight="1" thickBot="1" x14ac:dyDescent="0.35">
      <c r="A8" s="42" t="s">
        <v>7</v>
      </c>
      <c r="B8" s="14" t="s">
        <v>18</v>
      </c>
      <c r="C8" s="52"/>
      <c r="D8" s="15"/>
      <c r="E8" s="78"/>
      <c r="F8" s="79"/>
      <c r="G8" s="16"/>
      <c r="H8" s="16" t="str">
        <f t="shared" ref="H8:H33" si="5">IF(OR(ISBLANK(task_start),ISBLANK(task_end)),"",task_end-task_start+1)</f>
        <v/>
      </c>
      <c r="I8" s="51"/>
      <c r="J8" s="51"/>
      <c r="K8" s="51"/>
      <c r="L8" s="51"/>
      <c r="M8" s="51"/>
      <c r="N8" s="51"/>
      <c r="O8" s="51"/>
      <c r="P8" s="51"/>
      <c r="Q8" s="51"/>
      <c r="R8" s="51"/>
      <c r="S8" s="51"/>
      <c r="T8" s="51"/>
      <c r="U8" s="51"/>
      <c r="V8" s="51"/>
      <c r="W8" s="51"/>
      <c r="X8" s="51"/>
      <c r="Y8" s="51"/>
      <c r="Z8" s="51"/>
      <c r="AA8" s="51"/>
      <c r="AB8" s="51"/>
      <c r="AC8" s="51"/>
      <c r="AD8" s="51"/>
      <c r="AE8" s="51"/>
      <c r="AF8" s="51"/>
      <c r="AG8" s="51"/>
      <c r="AH8" s="51"/>
      <c r="AI8" s="51"/>
      <c r="AJ8" s="51"/>
      <c r="AK8" s="51"/>
      <c r="AL8" s="51"/>
      <c r="AM8" s="51"/>
      <c r="AN8" s="51"/>
      <c r="AO8" s="51"/>
      <c r="AP8" s="51"/>
      <c r="AQ8" s="51"/>
      <c r="AR8" s="51"/>
      <c r="AS8" s="51"/>
      <c r="AT8" s="51"/>
      <c r="AU8" s="51"/>
      <c r="AV8" s="51"/>
      <c r="AW8" s="51"/>
      <c r="AX8" s="51"/>
      <c r="AY8" s="51"/>
      <c r="AZ8" s="51"/>
      <c r="BA8" s="51"/>
      <c r="BB8" s="51"/>
      <c r="BC8" s="51"/>
      <c r="BD8" s="51"/>
      <c r="BE8" s="51"/>
      <c r="BF8" s="51"/>
      <c r="BG8" s="51"/>
      <c r="BH8" s="51"/>
      <c r="BI8" s="51"/>
      <c r="BJ8" s="51"/>
      <c r="BK8" s="51"/>
      <c r="BL8" s="51"/>
    </row>
    <row r="9" spans="1:64" s="53" customFormat="1" ht="30" customHeight="1" thickBot="1" x14ac:dyDescent="0.35">
      <c r="A9" s="42" t="s">
        <v>8</v>
      </c>
      <c r="B9" s="54" t="s">
        <v>19</v>
      </c>
      <c r="C9" s="55" t="s">
        <v>31</v>
      </c>
      <c r="D9" s="17">
        <v>0.5</v>
      </c>
      <c r="E9" s="1">
        <f ca="1">Project_Start</f>
        <v>43553</v>
      </c>
      <c r="F9" s="1">
        <f ca="1">E9+3</f>
        <v>43556</v>
      </c>
      <c r="G9" s="16"/>
      <c r="H9" s="16">
        <f t="shared" ca="1" si="5"/>
        <v>4</v>
      </c>
      <c r="I9" s="51"/>
      <c r="J9" s="51"/>
      <c r="K9" s="51"/>
      <c r="L9" s="51"/>
      <c r="M9" s="51"/>
      <c r="N9" s="51"/>
      <c r="O9" s="51"/>
      <c r="P9" s="51"/>
      <c r="Q9" s="51"/>
      <c r="R9" s="51"/>
      <c r="S9" s="51"/>
      <c r="T9" s="51"/>
      <c r="U9" s="51"/>
      <c r="V9" s="51"/>
      <c r="W9" s="51"/>
      <c r="X9" s="51"/>
      <c r="Y9" s="51"/>
      <c r="Z9" s="51"/>
      <c r="AA9" s="51"/>
      <c r="AB9" s="51"/>
      <c r="AC9" s="51"/>
      <c r="AD9" s="51"/>
      <c r="AE9" s="51"/>
      <c r="AF9" s="51"/>
      <c r="AG9" s="51"/>
      <c r="AH9" s="51"/>
      <c r="AI9" s="51"/>
      <c r="AJ9" s="51"/>
      <c r="AK9" s="51"/>
      <c r="AL9" s="51"/>
      <c r="AM9" s="51"/>
      <c r="AN9" s="51"/>
      <c r="AO9" s="51"/>
      <c r="AP9" s="51"/>
      <c r="AQ9" s="51"/>
      <c r="AR9" s="51"/>
      <c r="AS9" s="51"/>
      <c r="AT9" s="51"/>
      <c r="AU9" s="51"/>
      <c r="AV9" s="51"/>
      <c r="AW9" s="51"/>
      <c r="AX9" s="51"/>
      <c r="AY9" s="51"/>
      <c r="AZ9" s="51"/>
      <c r="BA9" s="51"/>
      <c r="BB9" s="51"/>
      <c r="BC9" s="51"/>
      <c r="BD9" s="51"/>
      <c r="BE9" s="51"/>
      <c r="BF9" s="51"/>
      <c r="BG9" s="51"/>
      <c r="BH9" s="51"/>
      <c r="BI9" s="51"/>
      <c r="BJ9" s="51"/>
      <c r="BK9" s="51"/>
      <c r="BL9" s="51"/>
    </row>
    <row r="10" spans="1:64" s="53" customFormat="1" ht="30" customHeight="1" thickBot="1" x14ac:dyDescent="0.35">
      <c r="A10" s="42" t="s">
        <v>9</v>
      </c>
      <c r="B10" s="54" t="s">
        <v>20</v>
      </c>
      <c r="C10" s="55"/>
      <c r="D10" s="17">
        <v>0.6</v>
      </c>
      <c r="E10" s="1">
        <f ca="1">F9</f>
        <v>43556</v>
      </c>
      <c r="F10" s="1">
        <f ca="1">E10+2</f>
        <v>43558</v>
      </c>
      <c r="G10" s="16"/>
      <c r="H10" s="16">
        <f t="shared" ca="1" si="5"/>
        <v>3</v>
      </c>
      <c r="I10" s="51"/>
      <c r="J10" s="51"/>
      <c r="K10" s="51"/>
      <c r="L10" s="51"/>
      <c r="M10" s="51"/>
      <c r="N10" s="51"/>
      <c r="O10" s="51"/>
      <c r="P10" s="51"/>
      <c r="Q10" s="51"/>
      <c r="R10" s="51"/>
      <c r="S10" s="51"/>
      <c r="T10" s="51"/>
      <c r="U10" s="56"/>
      <c r="V10" s="56"/>
      <c r="W10" s="51"/>
      <c r="X10" s="51"/>
      <c r="Y10" s="51"/>
      <c r="Z10" s="51"/>
      <c r="AA10" s="51"/>
      <c r="AB10" s="51"/>
      <c r="AC10" s="51"/>
      <c r="AD10" s="51"/>
      <c r="AE10" s="51"/>
      <c r="AF10" s="51"/>
      <c r="AG10" s="51"/>
      <c r="AH10" s="51"/>
      <c r="AI10" s="51"/>
      <c r="AJ10" s="51"/>
      <c r="AK10" s="51"/>
      <c r="AL10" s="51"/>
      <c r="AM10" s="51"/>
      <c r="AN10" s="51"/>
      <c r="AO10" s="51"/>
      <c r="AP10" s="51"/>
      <c r="AQ10" s="51"/>
      <c r="AR10" s="51"/>
      <c r="AS10" s="51"/>
      <c r="AT10" s="51"/>
      <c r="AU10" s="51"/>
      <c r="AV10" s="51"/>
      <c r="AW10" s="51"/>
      <c r="AX10" s="51"/>
      <c r="AY10" s="51"/>
      <c r="AZ10" s="51"/>
      <c r="BA10" s="51"/>
      <c r="BB10" s="51"/>
      <c r="BC10" s="51"/>
      <c r="BD10" s="51"/>
      <c r="BE10" s="51"/>
      <c r="BF10" s="51"/>
      <c r="BG10" s="51"/>
      <c r="BH10" s="51"/>
      <c r="BI10" s="51"/>
      <c r="BJ10" s="51"/>
      <c r="BK10" s="51"/>
      <c r="BL10" s="51"/>
    </row>
    <row r="11" spans="1:64" s="53" customFormat="1" ht="30" customHeight="1" thickBot="1" x14ac:dyDescent="0.35">
      <c r="A11" s="45"/>
      <c r="B11" s="54" t="s">
        <v>21</v>
      </c>
      <c r="C11" s="55"/>
      <c r="D11" s="17">
        <v>0.5</v>
      </c>
      <c r="E11" s="1">
        <f ca="1">F10</f>
        <v>43558</v>
      </c>
      <c r="F11" s="1">
        <f ca="1">E11+4</f>
        <v>43562</v>
      </c>
      <c r="G11" s="16"/>
      <c r="H11" s="16">
        <f t="shared" ca="1" si="5"/>
        <v>5</v>
      </c>
      <c r="I11" s="51"/>
      <c r="J11" s="51"/>
      <c r="K11" s="51"/>
      <c r="L11" s="51"/>
      <c r="M11" s="51"/>
      <c r="N11" s="51"/>
      <c r="O11" s="51"/>
      <c r="P11" s="51"/>
      <c r="Q11" s="51"/>
      <c r="R11" s="51"/>
      <c r="S11" s="51"/>
      <c r="T11" s="51"/>
      <c r="U11" s="51"/>
      <c r="V11" s="51"/>
      <c r="W11" s="51"/>
      <c r="X11" s="51"/>
      <c r="Y11" s="51"/>
      <c r="Z11" s="51"/>
      <c r="AA11" s="51"/>
      <c r="AB11" s="51"/>
      <c r="AC11" s="51"/>
      <c r="AD11" s="51"/>
      <c r="AE11" s="51"/>
      <c r="AF11" s="51"/>
      <c r="AG11" s="51"/>
      <c r="AH11" s="51"/>
      <c r="AI11" s="51"/>
      <c r="AJ11" s="51"/>
      <c r="AK11" s="51"/>
      <c r="AL11" s="51"/>
      <c r="AM11" s="51"/>
      <c r="AN11" s="51"/>
      <c r="AO11" s="51"/>
      <c r="AP11" s="51"/>
      <c r="AQ11" s="51"/>
      <c r="AR11" s="51"/>
      <c r="AS11" s="51"/>
      <c r="AT11" s="51"/>
      <c r="AU11" s="51"/>
      <c r="AV11" s="51"/>
      <c r="AW11" s="51"/>
      <c r="AX11" s="51"/>
      <c r="AY11" s="51"/>
      <c r="AZ11" s="51"/>
      <c r="BA11" s="51"/>
      <c r="BB11" s="51"/>
      <c r="BC11" s="51"/>
      <c r="BD11" s="51"/>
      <c r="BE11" s="51"/>
      <c r="BF11" s="51"/>
      <c r="BG11" s="51"/>
      <c r="BH11" s="51"/>
      <c r="BI11" s="51"/>
      <c r="BJ11" s="51"/>
      <c r="BK11" s="51"/>
      <c r="BL11" s="51"/>
    </row>
    <row r="12" spans="1:64" s="53" customFormat="1" ht="30" customHeight="1" thickBot="1" x14ac:dyDescent="0.35">
      <c r="A12" s="45"/>
      <c r="B12" s="54" t="s">
        <v>22</v>
      </c>
      <c r="C12" s="55"/>
      <c r="D12" s="17">
        <v>0.25</v>
      </c>
      <c r="E12" s="1">
        <f ca="1">F11</f>
        <v>43562</v>
      </c>
      <c r="F12" s="1">
        <f ca="1">E12+5</f>
        <v>43567</v>
      </c>
      <c r="G12" s="16"/>
      <c r="H12" s="16">
        <f t="shared" ca="1" si="5"/>
        <v>6</v>
      </c>
      <c r="I12" s="51"/>
      <c r="J12" s="51"/>
      <c r="K12" s="51"/>
      <c r="L12" s="51"/>
      <c r="M12" s="51"/>
      <c r="N12" s="51"/>
      <c r="O12" s="51"/>
      <c r="P12" s="51"/>
      <c r="Q12" s="51"/>
      <c r="R12" s="51"/>
      <c r="S12" s="51"/>
      <c r="T12" s="51"/>
      <c r="U12" s="51"/>
      <c r="V12" s="51"/>
      <c r="W12" s="51"/>
      <c r="X12" s="51"/>
      <c r="Y12" s="56"/>
      <c r="Z12" s="51"/>
      <c r="AA12" s="51"/>
      <c r="AB12" s="51"/>
      <c r="AC12" s="51"/>
      <c r="AD12" s="51"/>
      <c r="AE12" s="51"/>
      <c r="AF12" s="51"/>
      <c r="AG12" s="51"/>
      <c r="AH12" s="51"/>
      <c r="AI12" s="51"/>
      <c r="AJ12" s="51"/>
      <c r="AK12" s="51"/>
      <c r="AL12" s="51"/>
      <c r="AM12" s="51"/>
      <c r="AN12" s="51"/>
      <c r="AO12" s="51"/>
      <c r="AP12" s="51"/>
      <c r="AQ12" s="51"/>
      <c r="AR12" s="51"/>
      <c r="AS12" s="51"/>
      <c r="AT12" s="51"/>
      <c r="AU12" s="51"/>
      <c r="AV12" s="51"/>
      <c r="AW12" s="51"/>
      <c r="AX12" s="51"/>
      <c r="AY12" s="51"/>
      <c r="AZ12" s="51"/>
      <c r="BA12" s="51"/>
      <c r="BB12" s="51"/>
      <c r="BC12" s="51"/>
      <c r="BD12" s="51"/>
      <c r="BE12" s="51"/>
      <c r="BF12" s="51"/>
      <c r="BG12" s="51"/>
      <c r="BH12" s="51"/>
      <c r="BI12" s="51"/>
      <c r="BJ12" s="51"/>
      <c r="BK12" s="51"/>
      <c r="BL12" s="51"/>
    </row>
    <row r="13" spans="1:64" s="53" customFormat="1" ht="30" customHeight="1" thickBot="1" x14ac:dyDescent="0.35">
      <c r="A13" s="45"/>
      <c r="B13" s="54" t="s">
        <v>23</v>
      </c>
      <c r="C13" s="55"/>
      <c r="D13" s="17"/>
      <c r="E13" s="1">
        <f ca="1">E10+1</f>
        <v>43557</v>
      </c>
      <c r="F13" s="1">
        <f ca="1">E13+2</f>
        <v>43559</v>
      </c>
      <c r="G13" s="16"/>
      <c r="H13" s="16">
        <f t="shared" ca="1" si="5"/>
        <v>3</v>
      </c>
      <c r="I13" s="51"/>
      <c r="J13" s="51"/>
      <c r="K13" s="51"/>
      <c r="L13" s="51"/>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c r="BA13" s="51"/>
      <c r="BB13" s="51"/>
      <c r="BC13" s="51"/>
      <c r="BD13" s="51"/>
      <c r="BE13" s="51"/>
      <c r="BF13" s="51"/>
      <c r="BG13" s="51"/>
      <c r="BH13" s="51"/>
      <c r="BI13" s="51"/>
      <c r="BJ13" s="51"/>
      <c r="BK13" s="51"/>
      <c r="BL13" s="51"/>
    </row>
    <row r="14" spans="1:64" s="53" customFormat="1" ht="30" customHeight="1" thickBot="1" x14ac:dyDescent="0.35">
      <c r="A14" s="42" t="s">
        <v>10</v>
      </c>
      <c r="B14" s="18" t="s">
        <v>24</v>
      </c>
      <c r="C14" s="57"/>
      <c r="D14" s="19"/>
      <c r="E14" s="80"/>
      <c r="F14" s="81"/>
      <c r="G14" s="16"/>
      <c r="H14" s="16" t="str">
        <f t="shared" si="5"/>
        <v/>
      </c>
      <c r="I14" s="5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c r="BA14" s="51"/>
      <c r="BB14" s="51"/>
      <c r="BC14" s="51"/>
      <c r="BD14" s="51"/>
      <c r="BE14" s="51"/>
      <c r="BF14" s="51"/>
      <c r="BG14" s="51"/>
      <c r="BH14" s="51"/>
      <c r="BI14" s="51"/>
      <c r="BJ14" s="51"/>
      <c r="BK14" s="51"/>
      <c r="BL14" s="51"/>
    </row>
    <row r="15" spans="1:64" s="53" customFormat="1" ht="30" customHeight="1" thickBot="1" x14ac:dyDescent="0.35">
      <c r="A15" s="42"/>
      <c r="B15" s="58" t="s">
        <v>19</v>
      </c>
      <c r="C15" s="59"/>
      <c r="D15" s="20">
        <v>0.5</v>
      </c>
      <c r="E15" s="2">
        <f ca="1">E13+1</f>
        <v>43558</v>
      </c>
      <c r="F15" s="2">
        <f ca="1">E15+4</f>
        <v>43562</v>
      </c>
      <c r="G15" s="16"/>
      <c r="H15" s="16">
        <f t="shared" ca="1" si="5"/>
        <v>5</v>
      </c>
      <c r="I15" s="5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c r="BA15" s="51"/>
      <c r="BB15" s="51"/>
      <c r="BC15" s="51"/>
      <c r="BD15" s="51"/>
      <c r="BE15" s="51"/>
      <c r="BF15" s="51"/>
      <c r="BG15" s="51"/>
      <c r="BH15" s="51"/>
      <c r="BI15" s="51"/>
      <c r="BJ15" s="51"/>
      <c r="BK15" s="51"/>
      <c r="BL15" s="51"/>
    </row>
    <row r="16" spans="1:64" s="53" customFormat="1" ht="30" customHeight="1" thickBot="1" x14ac:dyDescent="0.35">
      <c r="A16" s="45"/>
      <c r="B16" s="58" t="s">
        <v>20</v>
      </c>
      <c r="C16" s="59"/>
      <c r="D16" s="20">
        <v>0.5</v>
      </c>
      <c r="E16" s="2">
        <f ca="1">E15+2</f>
        <v>43560</v>
      </c>
      <c r="F16" s="2">
        <f ca="1">E16+5</f>
        <v>43565</v>
      </c>
      <c r="G16" s="16"/>
      <c r="H16" s="16">
        <f t="shared" ca="1" si="5"/>
        <v>6</v>
      </c>
      <c r="I16" s="51"/>
      <c r="J16" s="51"/>
      <c r="K16" s="51"/>
      <c r="L16" s="51"/>
      <c r="M16" s="51"/>
      <c r="N16" s="51"/>
      <c r="O16" s="51"/>
      <c r="P16" s="51"/>
      <c r="Q16" s="51"/>
      <c r="R16" s="51"/>
      <c r="S16" s="51"/>
      <c r="T16" s="51"/>
      <c r="U16" s="56"/>
      <c r="V16" s="56"/>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c r="BA16" s="51"/>
      <c r="BB16" s="51"/>
      <c r="BC16" s="51"/>
      <c r="BD16" s="51"/>
      <c r="BE16" s="51"/>
      <c r="BF16" s="51"/>
      <c r="BG16" s="51"/>
      <c r="BH16" s="51"/>
      <c r="BI16" s="51"/>
      <c r="BJ16" s="51"/>
      <c r="BK16" s="51"/>
      <c r="BL16" s="51"/>
    </row>
    <row r="17" spans="1:64" s="53" customFormat="1" ht="30" customHeight="1" thickBot="1" x14ac:dyDescent="0.35">
      <c r="A17" s="45"/>
      <c r="B17" s="58" t="s">
        <v>21</v>
      </c>
      <c r="C17" s="59"/>
      <c r="D17" s="20"/>
      <c r="E17" s="2">
        <f ca="1">F16</f>
        <v>43565</v>
      </c>
      <c r="F17" s="2">
        <f ca="1">E17+3</f>
        <v>43568</v>
      </c>
      <c r="G17" s="16"/>
      <c r="H17" s="16">
        <f t="shared" ca="1" si="5"/>
        <v>4</v>
      </c>
      <c r="I17" s="51"/>
      <c r="J17" s="51"/>
      <c r="K17" s="51"/>
      <c r="L17" s="51"/>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51"/>
      <c r="AZ17" s="51"/>
      <c r="BA17" s="51"/>
      <c r="BB17" s="51"/>
      <c r="BC17" s="51"/>
      <c r="BD17" s="51"/>
      <c r="BE17" s="51"/>
      <c r="BF17" s="51"/>
      <c r="BG17" s="51"/>
      <c r="BH17" s="51"/>
      <c r="BI17" s="51"/>
      <c r="BJ17" s="51"/>
      <c r="BK17" s="51"/>
      <c r="BL17" s="51"/>
    </row>
    <row r="18" spans="1:64" s="53" customFormat="1" ht="30" customHeight="1" thickBot="1" x14ac:dyDescent="0.35">
      <c r="A18" s="45"/>
      <c r="B18" s="58" t="s">
        <v>22</v>
      </c>
      <c r="C18" s="59"/>
      <c r="D18" s="20"/>
      <c r="E18" s="2">
        <f ca="1">E17</f>
        <v>43565</v>
      </c>
      <c r="F18" s="2">
        <f ca="1">E18+2</f>
        <v>43567</v>
      </c>
      <c r="G18" s="16"/>
      <c r="H18" s="16">
        <f t="shared" ca="1" si="5"/>
        <v>3</v>
      </c>
      <c r="I18" s="51"/>
      <c r="J18" s="51"/>
      <c r="K18" s="51"/>
      <c r="L18" s="51"/>
      <c r="M18" s="51"/>
      <c r="N18" s="51"/>
      <c r="O18" s="51"/>
      <c r="P18" s="51"/>
      <c r="Q18" s="51"/>
      <c r="R18" s="51"/>
      <c r="S18" s="51"/>
      <c r="T18" s="51"/>
      <c r="U18" s="51"/>
      <c r="V18" s="51"/>
      <c r="W18" s="51"/>
      <c r="X18" s="51"/>
      <c r="Y18" s="56"/>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W18" s="51"/>
      <c r="AX18" s="51"/>
      <c r="AY18" s="51"/>
      <c r="AZ18" s="51"/>
      <c r="BA18" s="51"/>
      <c r="BB18" s="51"/>
      <c r="BC18" s="51"/>
      <c r="BD18" s="51"/>
      <c r="BE18" s="51"/>
      <c r="BF18" s="51"/>
      <c r="BG18" s="51"/>
      <c r="BH18" s="51"/>
      <c r="BI18" s="51"/>
      <c r="BJ18" s="51"/>
      <c r="BK18" s="51"/>
      <c r="BL18" s="51"/>
    </row>
    <row r="19" spans="1:64" s="53" customFormat="1" ht="30" customHeight="1" thickBot="1" x14ac:dyDescent="0.35">
      <c r="A19" s="45"/>
      <c r="B19" s="58" t="s">
        <v>23</v>
      </c>
      <c r="C19" s="59"/>
      <c r="D19" s="20"/>
      <c r="E19" s="2">
        <f ca="1">E18</f>
        <v>43565</v>
      </c>
      <c r="F19" s="2">
        <f ca="1">E19+3</f>
        <v>43568</v>
      </c>
      <c r="G19" s="16"/>
      <c r="H19" s="16">
        <f t="shared" ca="1" si="5"/>
        <v>4</v>
      </c>
      <c r="I19" s="51"/>
      <c r="J19" s="51"/>
      <c r="K19" s="51"/>
      <c r="L19" s="51"/>
      <c r="M19" s="51"/>
      <c r="N19" s="51"/>
      <c r="O19" s="51"/>
      <c r="P19" s="51"/>
      <c r="Q19" s="51"/>
      <c r="R19" s="51"/>
      <c r="S19" s="51"/>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c r="BI19" s="51"/>
      <c r="BJ19" s="51"/>
      <c r="BK19" s="51"/>
      <c r="BL19" s="51"/>
    </row>
    <row r="20" spans="1:64" s="53" customFormat="1" ht="30" customHeight="1" thickBot="1" x14ac:dyDescent="0.35">
      <c r="A20" s="45" t="s">
        <v>11</v>
      </c>
      <c r="B20" s="21" t="s">
        <v>25</v>
      </c>
      <c r="C20" s="60"/>
      <c r="D20" s="22"/>
      <c r="E20" s="82"/>
      <c r="F20" s="83"/>
      <c r="G20" s="16"/>
      <c r="H20" s="16" t="str">
        <f t="shared" si="5"/>
        <v/>
      </c>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51"/>
      <c r="AK20" s="51"/>
      <c r="AL20" s="51"/>
      <c r="AM20" s="51"/>
      <c r="AN20" s="51"/>
      <c r="AO20" s="51"/>
      <c r="AP20" s="51"/>
      <c r="AQ20" s="51"/>
      <c r="AR20" s="51"/>
      <c r="AS20" s="51"/>
      <c r="AT20" s="51"/>
      <c r="AU20" s="51"/>
      <c r="AV20" s="51"/>
      <c r="AW20" s="51"/>
      <c r="AX20" s="51"/>
      <c r="AY20" s="51"/>
      <c r="AZ20" s="51"/>
      <c r="BA20" s="51"/>
      <c r="BB20" s="51"/>
      <c r="BC20" s="51"/>
      <c r="BD20" s="51"/>
      <c r="BE20" s="51"/>
      <c r="BF20" s="51"/>
      <c r="BG20" s="51"/>
      <c r="BH20" s="51"/>
      <c r="BI20" s="51"/>
      <c r="BJ20" s="51"/>
      <c r="BK20" s="51"/>
      <c r="BL20" s="51"/>
    </row>
    <row r="21" spans="1:64" s="53" customFormat="1" ht="30" customHeight="1" thickBot="1" x14ac:dyDescent="0.35">
      <c r="A21" s="45"/>
      <c r="B21" s="61" t="s">
        <v>19</v>
      </c>
      <c r="C21" s="62"/>
      <c r="D21" s="23"/>
      <c r="E21" s="3">
        <f ca="1">E9+15</f>
        <v>43568</v>
      </c>
      <c r="F21" s="3">
        <f ca="1">E21+5</f>
        <v>43573</v>
      </c>
      <c r="G21" s="16"/>
      <c r="H21" s="16">
        <f t="shared" ca="1" si="5"/>
        <v>6</v>
      </c>
      <c r="I21" s="51"/>
      <c r="J21" s="51"/>
      <c r="K21" s="51"/>
      <c r="L21" s="51"/>
      <c r="M21" s="51"/>
      <c r="N21" s="51"/>
      <c r="O21" s="51"/>
      <c r="P21" s="51"/>
      <c r="Q21" s="51"/>
      <c r="R21" s="51"/>
      <c r="S21" s="51"/>
      <c r="T21" s="51"/>
      <c r="U21" s="51"/>
      <c r="V21" s="51"/>
      <c r="W21" s="51"/>
      <c r="X21" s="51"/>
      <c r="Y21" s="51"/>
      <c r="Z21" s="51"/>
      <c r="AA21" s="51"/>
      <c r="AB21" s="51"/>
      <c r="AC21" s="51"/>
      <c r="AD21" s="51"/>
      <c r="AE21" s="51"/>
      <c r="AF21" s="51"/>
      <c r="AG21" s="51"/>
      <c r="AH21" s="51"/>
      <c r="AI21" s="51"/>
      <c r="AJ21" s="51"/>
      <c r="AK21" s="51"/>
      <c r="AL21" s="51"/>
      <c r="AM21" s="51"/>
      <c r="AN21" s="51"/>
      <c r="AO21" s="51"/>
      <c r="AP21" s="51"/>
      <c r="AQ21" s="51"/>
      <c r="AR21" s="51"/>
      <c r="AS21" s="51"/>
      <c r="AT21" s="51"/>
      <c r="AU21" s="51"/>
      <c r="AV21" s="51"/>
      <c r="AW21" s="51"/>
      <c r="AX21" s="51"/>
      <c r="AY21" s="51"/>
      <c r="AZ21" s="51"/>
      <c r="BA21" s="51"/>
      <c r="BB21" s="51"/>
      <c r="BC21" s="51"/>
      <c r="BD21" s="51"/>
      <c r="BE21" s="51"/>
      <c r="BF21" s="51"/>
      <c r="BG21" s="51"/>
      <c r="BH21" s="51"/>
      <c r="BI21" s="51"/>
      <c r="BJ21" s="51"/>
      <c r="BK21" s="51"/>
      <c r="BL21" s="51"/>
    </row>
    <row r="22" spans="1:64" s="53" customFormat="1" ht="30" customHeight="1" thickBot="1" x14ac:dyDescent="0.35">
      <c r="A22" s="45"/>
      <c r="B22" s="61" t="s">
        <v>20</v>
      </c>
      <c r="C22" s="62"/>
      <c r="D22" s="23"/>
      <c r="E22" s="3">
        <f ca="1">F21+1</f>
        <v>43574</v>
      </c>
      <c r="F22" s="3">
        <f ca="1">E22+4</f>
        <v>43578</v>
      </c>
      <c r="G22" s="16"/>
      <c r="H22" s="16">
        <f t="shared" ca="1" si="5"/>
        <v>5</v>
      </c>
      <c r="I22" s="51"/>
      <c r="J22" s="51"/>
      <c r="K22" s="51"/>
      <c r="L22" s="51"/>
      <c r="M22" s="51"/>
      <c r="N22" s="51"/>
      <c r="O22" s="51"/>
      <c r="P22" s="51"/>
      <c r="Q22" s="51"/>
      <c r="R22" s="51"/>
      <c r="S22" s="51"/>
      <c r="T22" s="51"/>
      <c r="U22" s="51"/>
      <c r="V22" s="51"/>
      <c r="W22" s="51"/>
      <c r="X22" s="51"/>
      <c r="Y22" s="51"/>
      <c r="Z22" s="51"/>
      <c r="AA22" s="51"/>
      <c r="AB22" s="51"/>
      <c r="AC22" s="51"/>
      <c r="AD22" s="51"/>
      <c r="AE22" s="51"/>
      <c r="AF22" s="51"/>
      <c r="AG22" s="51"/>
      <c r="AH22" s="51"/>
      <c r="AI22" s="51"/>
      <c r="AJ22" s="51"/>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c r="BI22" s="51"/>
      <c r="BJ22" s="51"/>
      <c r="BK22" s="51"/>
      <c r="BL22" s="51"/>
    </row>
    <row r="23" spans="1:64" s="53" customFormat="1" ht="30" customHeight="1" thickBot="1" x14ac:dyDescent="0.35">
      <c r="A23" s="45"/>
      <c r="B23" s="61" t="s">
        <v>21</v>
      </c>
      <c r="C23" s="62"/>
      <c r="D23" s="23"/>
      <c r="E23" s="3">
        <f ca="1">E22+5</f>
        <v>43579</v>
      </c>
      <c r="F23" s="3">
        <f ca="1">E23+5</f>
        <v>43584</v>
      </c>
      <c r="G23" s="16"/>
      <c r="H23" s="16">
        <f t="shared" ca="1" si="5"/>
        <v>6</v>
      </c>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c r="BI23" s="51"/>
      <c r="BJ23" s="51"/>
      <c r="BK23" s="51"/>
      <c r="BL23" s="51"/>
    </row>
    <row r="24" spans="1:64" s="53" customFormat="1" ht="30" customHeight="1" thickBot="1" x14ac:dyDescent="0.35">
      <c r="A24" s="45"/>
      <c r="B24" s="61" t="s">
        <v>22</v>
      </c>
      <c r="C24" s="62"/>
      <c r="D24" s="23"/>
      <c r="E24" s="3">
        <f ca="1">F23+1</f>
        <v>43585</v>
      </c>
      <c r="F24" s="3">
        <f ca="1">E24+4</f>
        <v>43589</v>
      </c>
      <c r="G24" s="16"/>
      <c r="H24" s="16">
        <f t="shared" ca="1" si="5"/>
        <v>5</v>
      </c>
      <c r="I24" s="51"/>
      <c r="J24" s="51"/>
      <c r="K24" s="51"/>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51"/>
      <c r="AZ24" s="51"/>
      <c r="BA24" s="51"/>
      <c r="BB24" s="51"/>
      <c r="BC24" s="51"/>
      <c r="BD24" s="51"/>
      <c r="BE24" s="51"/>
      <c r="BF24" s="51"/>
      <c r="BG24" s="51"/>
      <c r="BH24" s="51"/>
      <c r="BI24" s="51"/>
      <c r="BJ24" s="51"/>
      <c r="BK24" s="51"/>
      <c r="BL24" s="51"/>
    </row>
    <row r="25" spans="1:64" s="53" customFormat="1" ht="30" customHeight="1" thickBot="1" x14ac:dyDescent="0.35">
      <c r="A25" s="45"/>
      <c r="B25" s="61" t="s">
        <v>23</v>
      </c>
      <c r="C25" s="62"/>
      <c r="D25" s="23"/>
      <c r="E25" s="3">
        <f ca="1">E23</f>
        <v>43579</v>
      </c>
      <c r="F25" s="3">
        <f ca="1">E25+4</f>
        <v>43583</v>
      </c>
      <c r="G25" s="16"/>
      <c r="H25" s="16">
        <f t="shared" ca="1" si="5"/>
        <v>5</v>
      </c>
      <c r="I25" s="51"/>
      <c r="J25" s="51"/>
      <c r="K25" s="51"/>
      <c r="L25" s="51"/>
      <c r="M25" s="51"/>
      <c r="N25" s="51"/>
      <c r="O25" s="51"/>
      <c r="P25" s="51"/>
      <c r="Q25" s="51"/>
      <c r="R25" s="51"/>
      <c r="S25" s="51"/>
      <c r="T25" s="51"/>
      <c r="U25" s="51"/>
      <c r="V25" s="51"/>
      <c r="W25" s="51"/>
      <c r="X25" s="51"/>
      <c r="Y25" s="51"/>
      <c r="Z25" s="51"/>
      <c r="AA25" s="51"/>
      <c r="AB25" s="51"/>
      <c r="AC25" s="51"/>
      <c r="AD25" s="51"/>
      <c r="AE25" s="51"/>
      <c r="AF25" s="51"/>
      <c r="AG25" s="51"/>
      <c r="AH25" s="51"/>
      <c r="AI25" s="51"/>
      <c r="AJ25" s="51"/>
      <c r="AK25" s="51"/>
      <c r="AL25" s="51"/>
      <c r="AM25" s="51"/>
      <c r="AN25" s="51"/>
      <c r="AO25" s="51"/>
      <c r="AP25" s="51"/>
      <c r="AQ25" s="51"/>
      <c r="AR25" s="51"/>
      <c r="AS25" s="51"/>
      <c r="AT25" s="51"/>
      <c r="AU25" s="51"/>
      <c r="AV25" s="51"/>
      <c r="AW25" s="51"/>
      <c r="AX25" s="51"/>
      <c r="AY25" s="51"/>
      <c r="AZ25" s="51"/>
      <c r="BA25" s="51"/>
      <c r="BB25" s="51"/>
      <c r="BC25" s="51"/>
      <c r="BD25" s="51"/>
      <c r="BE25" s="51"/>
      <c r="BF25" s="51"/>
      <c r="BG25" s="51"/>
      <c r="BH25" s="51"/>
      <c r="BI25" s="51"/>
      <c r="BJ25" s="51"/>
      <c r="BK25" s="51"/>
      <c r="BL25" s="51"/>
    </row>
    <row r="26" spans="1:64" s="53" customFormat="1" ht="30" customHeight="1" thickBot="1" x14ac:dyDescent="0.35">
      <c r="A26" s="45" t="s">
        <v>11</v>
      </c>
      <c r="B26" s="24" t="s">
        <v>26</v>
      </c>
      <c r="C26" s="63"/>
      <c r="D26" s="25"/>
      <c r="E26" s="84"/>
      <c r="F26" s="85"/>
      <c r="G26" s="16"/>
      <c r="H26" s="16" t="str">
        <f t="shared" si="5"/>
        <v/>
      </c>
      <c r="I26" s="5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51"/>
      <c r="AK26" s="51"/>
      <c r="AL26" s="51"/>
      <c r="AM26" s="51"/>
      <c r="AN26" s="51"/>
      <c r="AO26" s="51"/>
      <c r="AP26" s="51"/>
      <c r="AQ26" s="51"/>
      <c r="AR26" s="51"/>
      <c r="AS26" s="51"/>
      <c r="AT26" s="51"/>
      <c r="AU26" s="51"/>
      <c r="AV26" s="51"/>
      <c r="AW26" s="51"/>
      <c r="AX26" s="51"/>
      <c r="AY26" s="51"/>
      <c r="AZ26" s="51"/>
      <c r="BA26" s="51"/>
      <c r="BB26" s="51"/>
      <c r="BC26" s="51"/>
      <c r="BD26" s="51"/>
      <c r="BE26" s="51"/>
      <c r="BF26" s="51"/>
      <c r="BG26" s="51"/>
      <c r="BH26" s="51"/>
      <c r="BI26" s="51"/>
      <c r="BJ26" s="51"/>
      <c r="BK26" s="51"/>
      <c r="BL26" s="51"/>
    </row>
    <row r="27" spans="1:64" s="53" customFormat="1" ht="30" customHeight="1" thickBot="1" x14ac:dyDescent="0.35">
      <c r="A27" s="45"/>
      <c r="B27" s="64" t="s">
        <v>19</v>
      </c>
      <c r="C27" s="65"/>
      <c r="D27" s="26"/>
      <c r="E27" s="4" t="s">
        <v>34</v>
      </c>
      <c r="F27" s="4" t="s">
        <v>34</v>
      </c>
      <c r="G27" s="16"/>
      <c r="H27" s="16" t="e">
        <f t="shared" si="5"/>
        <v>#VALUE!</v>
      </c>
      <c r="I27" s="51"/>
      <c r="J27" s="51"/>
      <c r="K27" s="51"/>
      <c r="L27" s="51"/>
      <c r="M27" s="51"/>
      <c r="N27" s="51"/>
      <c r="O27" s="51"/>
      <c r="P27" s="51"/>
      <c r="Q27" s="51"/>
      <c r="R27" s="51"/>
      <c r="S27" s="51"/>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51"/>
      <c r="AZ27" s="51"/>
      <c r="BA27" s="51"/>
      <c r="BB27" s="51"/>
      <c r="BC27" s="51"/>
      <c r="BD27" s="51"/>
      <c r="BE27" s="51"/>
      <c r="BF27" s="51"/>
      <c r="BG27" s="51"/>
      <c r="BH27" s="51"/>
      <c r="BI27" s="51"/>
      <c r="BJ27" s="51"/>
      <c r="BK27" s="51"/>
      <c r="BL27" s="51"/>
    </row>
    <row r="28" spans="1:64" s="53" customFormat="1" ht="30" customHeight="1" thickBot="1" x14ac:dyDescent="0.35">
      <c r="A28" s="45"/>
      <c r="B28" s="64" t="s">
        <v>20</v>
      </c>
      <c r="C28" s="65"/>
      <c r="D28" s="26"/>
      <c r="E28" s="4" t="s">
        <v>34</v>
      </c>
      <c r="F28" s="4" t="s">
        <v>34</v>
      </c>
      <c r="G28" s="16"/>
      <c r="H28" s="16" t="e">
        <f t="shared" si="5"/>
        <v>#VALUE!</v>
      </c>
      <c r="I28" s="51"/>
      <c r="J28" s="51"/>
      <c r="K28" s="51"/>
      <c r="L28" s="51"/>
      <c r="M28" s="51"/>
      <c r="N28" s="51"/>
      <c r="O28" s="51"/>
      <c r="P28" s="51"/>
      <c r="Q28" s="51"/>
      <c r="R28" s="51"/>
      <c r="S28" s="51"/>
      <c r="T28" s="51"/>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c r="BI28" s="51"/>
      <c r="BJ28" s="51"/>
      <c r="BK28" s="51"/>
      <c r="BL28" s="51"/>
    </row>
    <row r="29" spans="1:64" s="53" customFormat="1" ht="30" customHeight="1" thickBot="1" x14ac:dyDescent="0.35">
      <c r="A29" s="45"/>
      <c r="B29" s="64" t="s">
        <v>21</v>
      </c>
      <c r="C29" s="65"/>
      <c r="D29" s="26"/>
      <c r="E29" s="4" t="s">
        <v>34</v>
      </c>
      <c r="F29" s="4" t="s">
        <v>34</v>
      </c>
      <c r="G29" s="16"/>
      <c r="H29" s="16" t="e">
        <f t="shared" si="5"/>
        <v>#VALUE!</v>
      </c>
      <c r="I29" s="5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51"/>
      <c r="AK29" s="51"/>
      <c r="AL29" s="51"/>
      <c r="AM29" s="51"/>
      <c r="AN29" s="51"/>
      <c r="AO29" s="51"/>
      <c r="AP29" s="51"/>
      <c r="AQ29" s="51"/>
      <c r="AR29" s="51"/>
      <c r="AS29" s="51"/>
      <c r="AT29" s="51"/>
      <c r="AU29" s="51"/>
      <c r="AV29" s="51"/>
      <c r="AW29" s="51"/>
      <c r="AX29" s="51"/>
      <c r="AY29" s="51"/>
      <c r="AZ29" s="51"/>
      <c r="BA29" s="51"/>
      <c r="BB29" s="51"/>
      <c r="BC29" s="51"/>
      <c r="BD29" s="51"/>
      <c r="BE29" s="51"/>
      <c r="BF29" s="51"/>
      <c r="BG29" s="51"/>
      <c r="BH29" s="51"/>
      <c r="BI29" s="51"/>
      <c r="BJ29" s="51"/>
      <c r="BK29" s="51"/>
      <c r="BL29" s="51"/>
    </row>
    <row r="30" spans="1:64" s="53" customFormat="1" ht="30" customHeight="1" thickBot="1" x14ac:dyDescent="0.35">
      <c r="A30" s="45"/>
      <c r="B30" s="64" t="s">
        <v>22</v>
      </c>
      <c r="C30" s="65"/>
      <c r="D30" s="26"/>
      <c r="E30" s="4" t="s">
        <v>34</v>
      </c>
      <c r="F30" s="4" t="s">
        <v>34</v>
      </c>
      <c r="G30" s="16"/>
      <c r="H30" s="16" t="e">
        <f t="shared" si="5"/>
        <v>#VALUE!</v>
      </c>
      <c r="I30" s="51"/>
      <c r="J30" s="51"/>
      <c r="K30" s="51"/>
      <c r="L30" s="51"/>
      <c r="M30" s="51"/>
      <c r="N30" s="51"/>
      <c r="O30" s="51"/>
      <c r="P30" s="51"/>
      <c r="Q30" s="51"/>
      <c r="R30" s="51"/>
      <c r="S30" s="51"/>
      <c r="T30" s="51"/>
      <c r="U30" s="51"/>
      <c r="V30" s="51"/>
      <c r="W30" s="51"/>
      <c r="X30" s="51"/>
      <c r="Y30" s="51"/>
      <c r="Z30" s="51"/>
      <c r="AA30" s="51"/>
      <c r="AB30" s="51"/>
      <c r="AC30" s="51"/>
      <c r="AD30" s="51"/>
      <c r="AE30" s="51"/>
      <c r="AF30" s="51"/>
      <c r="AG30" s="51"/>
      <c r="AH30" s="51"/>
      <c r="AI30" s="51"/>
      <c r="AJ30" s="51"/>
      <c r="AK30" s="51"/>
      <c r="AL30" s="51"/>
      <c r="AM30" s="51"/>
      <c r="AN30" s="51"/>
      <c r="AO30" s="51"/>
      <c r="AP30" s="51"/>
      <c r="AQ30" s="51"/>
      <c r="AR30" s="51"/>
      <c r="AS30" s="51"/>
      <c r="AT30" s="51"/>
      <c r="AU30" s="51"/>
      <c r="AV30" s="51"/>
      <c r="AW30" s="51"/>
      <c r="AX30" s="51"/>
      <c r="AY30" s="51"/>
      <c r="AZ30" s="51"/>
      <c r="BA30" s="51"/>
      <c r="BB30" s="51"/>
      <c r="BC30" s="51"/>
      <c r="BD30" s="51"/>
      <c r="BE30" s="51"/>
      <c r="BF30" s="51"/>
      <c r="BG30" s="51"/>
      <c r="BH30" s="51"/>
      <c r="BI30" s="51"/>
      <c r="BJ30" s="51"/>
      <c r="BK30" s="51"/>
      <c r="BL30" s="51"/>
    </row>
    <row r="31" spans="1:64" s="53" customFormat="1" ht="30" customHeight="1" thickBot="1" x14ac:dyDescent="0.35">
      <c r="A31" s="45"/>
      <c r="B31" s="64" t="s">
        <v>23</v>
      </c>
      <c r="C31" s="65"/>
      <c r="D31" s="26"/>
      <c r="E31" s="4" t="s">
        <v>34</v>
      </c>
      <c r="F31" s="4" t="s">
        <v>34</v>
      </c>
      <c r="G31" s="16"/>
      <c r="H31" s="16" t="e">
        <f t="shared" si="5"/>
        <v>#VALUE!</v>
      </c>
      <c r="I31" s="51"/>
      <c r="J31" s="51"/>
      <c r="K31" s="51"/>
      <c r="L31" s="51"/>
      <c r="M31" s="51"/>
      <c r="N31" s="51"/>
      <c r="O31" s="51"/>
      <c r="P31" s="51"/>
      <c r="Q31" s="51"/>
      <c r="R31" s="51"/>
      <c r="S31" s="51"/>
      <c r="T31" s="51"/>
      <c r="U31" s="51"/>
      <c r="V31" s="51"/>
      <c r="W31" s="51"/>
      <c r="X31" s="51"/>
      <c r="Y31" s="51"/>
      <c r="Z31" s="51"/>
      <c r="AA31" s="51"/>
      <c r="AB31" s="51"/>
      <c r="AC31" s="51"/>
      <c r="AD31" s="51"/>
      <c r="AE31" s="51"/>
      <c r="AF31" s="51"/>
      <c r="AG31" s="51"/>
      <c r="AH31" s="51"/>
      <c r="AI31" s="51"/>
      <c r="AJ31" s="51"/>
      <c r="AK31" s="51"/>
      <c r="AL31" s="51"/>
      <c r="AM31" s="51"/>
      <c r="AN31" s="51"/>
      <c r="AO31" s="51"/>
      <c r="AP31" s="51"/>
      <c r="AQ31" s="51"/>
      <c r="AR31" s="51"/>
      <c r="AS31" s="51"/>
      <c r="AT31" s="51"/>
      <c r="AU31" s="51"/>
      <c r="AV31" s="51"/>
      <c r="AW31" s="51"/>
      <c r="AX31" s="51"/>
      <c r="AY31" s="51"/>
      <c r="AZ31" s="51"/>
      <c r="BA31" s="51"/>
      <c r="BB31" s="51"/>
      <c r="BC31" s="51"/>
      <c r="BD31" s="51"/>
      <c r="BE31" s="51"/>
      <c r="BF31" s="51"/>
      <c r="BG31" s="51"/>
      <c r="BH31" s="51"/>
      <c r="BI31" s="51"/>
      <c r="BJ31" s="51"/>
      <c r="BK31" s="51"/>
      <c r="BL31" s="51"/>
    </row>
    <row r="32" spans="1:64" s="53" customFormat="1" ht="30" customHeight="1" thickBot="1" x14ac:dyDescent="0.35">
      <c r="A32" s="45" t="s">
        <v>12</v>
      </c>
      <c r="B32" s="66"/>
      <c r="C32" s="67"/>
      <c r="D32" s="27"/>
      <c r="E32" s="68"/>
      <c r="F32" s="68"/>
      <c r="G32" s="16"/>
      <c r="H32" s="16" t="str">
        <f t="shared" si="5"/>
        <v/>
      </c>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51"/>
      <c r="AK32" s="51"/>
      <c r="AL32" s="51"/>
      <c r="AM32" s="51"/>
      <c r="AN32" s="51"/>
      <c r="AO32" s="51"/>
      <c r="AP32" s="51"/>
      <c r="AQ32" s="51"/>
      <c r="AR32" s="51"/>
      <c r="AS32" s="51"/>
      <c r="AT32" s="51"/>
      <c r="AU32" s="51"/>
      <c r="AV32" s="51"/>
      <c r="AW32" s="51"/>
      <c r="AX32" s="51"/>
      <c r="AY32" s="51"/>
      <c r="AZ32" s="51"/>
      <c r="BA32" s="51"/>
      <c r="BB32" s="51"/>
      <c r="BC32" s="51"/>
      <c r="BD32" s="51"/>
      <c r="BE32" s="51"/>
      <c r="BF32" s="51"/>
      <c r="BG32" s="51"/>
      <c r="BH32" s="51"/>
      <c r="BI32" s="51"/>
      <c r="BJ32" s="51"/>
      <c r="BK32" s="51"/>
      <c r="BL32" s="51"/>
    </row>
    <row r="33" spans="1:64" s="53" customFormat="1" ht="30" customHeight="1" thickBot="1" x14ac:dyDescent="0.35">
      <c r="A33" s="42" t="s">
        <v>13</v>
      </c>
      <c r="B33" s="28" t="s">
        <v>27</v>
      </c>
      <c r="C33" s="29"/>
      <c r="D33" s="30"/>
      <c r="E33" s="31"/>
      <c r="F33" s="32"/>
      <c r="G33" s="33"/>
      <c r="H33" s="33" t="str">
        <f t="shared" si="5"/>
        <v/>
      </c>
      <c r="I33" s="69"/>
      <c r="J33" s="69"/>
      <c r="K33" s="69"/>
      <c r="L33" s="69"/>
      <c r="M33" s="69"/>
      <c r="N33" s="69"/>
      <c r="O33" s="69"/>
      <c r="P33" s="69"/>
      <c r="Q33" s="69"/>
      <c r="R33" s="69"/>
      <c r="S33" s="69"/>
      <c r="T33" s="69"/>
      <c r="U33" s="69"/>
      <c r="V33" s="69"/>
      <c r="W33" s="69"/>
      <c r="X33" s="69"/>
      <c r="Y33" s="69"/>
      <c r="Z33" s="69"/>
      <c r="AA33" s="69"/>
      <c r="AB33" s="69"/>
      <c r="AC33" s="69"/>
      <c r="AD33" s="69"/>
      <c r="AE33" s="69"/>
      <c r="AF33" s="69"/>
      <c r="AG33" s="69"/>
      <c r="AH33" s="69"/>
      <c r="AI33" s="69"/>
      <c r="AJ33" s="69"/>
      <c r="AK33" s="69"/>
      <c r="AL33" s="69"/>
      <c r="AM33" s="69"/>
      <c r="AN33" s="69"/>
      <c r="AO33" s="69"/>
      <c r="AP33" s="69"/>
      <c r="AQ33" s="69"/>
      <c r="AR33" s="69"/>
      <c r="AS33" s="69"/>
      <c r="AT33" s="69"/>
      <c r="AU33" s="69"/>
      <c r="AV33" s="69"/>
      <c r="AW33" s="69"/>
      <c r="AX33" s="69"/>
      <c r="AY33" s="69"/>
      <c r="AZ33" s="69"/>
      <c r="BA33" s="69"/>
      <c r="BB33" s="69"/>
      <c r="BC33" s="69"/>
      <c r="BD33" s="69"/>
      <c r="BE33" s="69"/>
      <c r="BF33" s="69"/>
      <c r="BG33" s="69"/>
      <c r="BH33" s="69"/>
      <c r="BI33" s="69"/>
      <c r="BJ33" s="69"/>
      <c r="BK33" s="69"/>
      <c r="BL33" s="69"/>
    </row>
    <row r="34" spans="1:64" ht="30" customHeight="1" x14ac:dyDescent="0.3">
      <c r="G34" s="70"/>
    </row>
    <row r="35" spans="1:64" ht="30" customHeight="1" x14ac:dyDescent="0.3">
      <c r="C35" s="9"/>
      <c r="F35" s="34"/>
    </row>
    <row r="36" spans="1:64" ht="30" customHeight="1" x14ac:dyDescent="0.35">
      <c r="C36" s="35"/>
    </row>
  </sheetData>
  <mergeCells count="12">
    <mergeCell ref="C3:D3"/>
    <mergeCell ref="C4:D4"/>
    <mergeCell ref="B5:G5"/>
    <mergeCell ref="AK4:AQ4"/>
    <mergeCell ref="AR4:AX4"/>
    <mergeCell ref="AY4:BE4"/>
    <mergeCell ref="BF4:BL4"/>
    <mergeCell ref="E3:F3"/>
    <mergeCell ref="I4:O4"/>
    <mergeCell ref="P4:V4"/>
    <mergeCell ref="W4:AC4"/>
    <mergeCell ref="AD4:AJ4"/>
  </mergeCells>
  <phoneticPr fontId="23" type="noConversion"/>
  <conditionalFormatting sqref="D7:D33">
    <cfRule type="dataBar" priority="14">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I5:BL33">
    <cfRule type="expression" dxfId="2" priority="33">
      <formula>AND(TODAY()&gt;=I$5,TODAY()&lt;J$5)</formula>
    </cfRule>
  </conditionalFormatting>
  <conditionalFormatting sqref="I7:BL33">
    <cfRule type="expression" dxfId="1" priority="27">
      <formula>AND(task_start&lt;=I$5,ROUNDDOWN((task_end-task_start+1)*task_progress,0)+task_start-1&gt;=I$5)</formula>
    </cfRule>
    <cfRule type="expression" dxfId="0" priority="28" stopIfTrue="1">
      <formula>AND(task_end&gt;=I$5,task_start&lt;J$5)</formula>
    </cfRule>
  </conditionalFormatting>
  <dataValidations count="1">
    <dataValidation type="whole" operator="greaterThanOrEqual" allowBlank="1" showInputMessage="1" promptTitle="显示周数" prompt="更改此数字将滚动甘特图视图。" sqref="E4" xr:uid="{00000000-0002-0000-0000-000000000000}">
      <formula1>1</formula1>
    </dataValidation>
  </dataValidations>
  <hyperlinks>
    <hyperlink ref="I2" r:id="rId1" xr:uid="{00000000-0004-0000-0000-000000000000}"/>
    <hyperlink ref="I1" r:id="rId2" xr:uid="{00000000-0004-0000-0000-000001000000}"/>
  </hyperlinks>
  <printOptions horizontalCentered="1"/>
  <pageMargins left="0.35" right="0.35" top="0.35" bottom="0.5" header="0.3" footer="0.3"/>
  <pageSetup paperSize="9" scale="51" fitToHeight="0" orientation="landscape" r:id="rId3"/>
  <headerFooter differentFirst="1" scaleWithDoc="0">
    <oddFooter>Page &amp;P of &amp;N</oddFooter>
  </headerFooter>
  <ignoredErrors>
    <ignoredError sqref="F18 F22:F23 E23" formula="1"/>
  </ignoredErrors>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D7:D33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B16"/>
  <sheetViews>
    <sheetView showGridLines="0" zoomScaleNormal="100" workbookViewId="0"/>
  </sheetViews>
  <sheetFormatPr defaultColWidth="9.21875" defaultRowHeight="16.5" x14ac:dyDescent="0.35"/>
  <cols>
    <col min="1" max="1" width="87.21875" style="36" customWidth="1"/>
    <col min="2" max="16384" width="9.21875" style="6"/>
  </cols>
  <sheetData>
    <row r="1" spans="1:2" ht="46.5" customHeight="1" x14ac:dyDescent="0.35"/>
    <row r="2" spans="1:2" s="71" customFormat="1" ht="18" x14ac:dyDescent="0.3">
      <c r="A2" s="37" t="s">
        <v>37</v>
      </c>
      <c r="B2" s="37"/>
    </row>
    <row r="3" spans="1:2" s="72" customFormat="1" ht="27" customHeight="1" x14ac:dyDescent="0.3">
      <c r="A3" s="38" t="s">
        <v>38</v>
      </c>
      <c r="B3" s="38"/>
    </row>
    <row r="4" spans="1:2" s="40" customFormat="1" ht="27.75" x14ac:dyDescent="0.45">
      <c r="A4" s="39" t="s">
        <v>39</v>
      </c>
    </row>
    <row r="5" spans="1:2" ht="74.099999999999994" customHeight="1" x14ac:dyDescent="0.35">
      <c r="A5" s="41" t="s">
        <v>40</v>
      </c>
    </row>
    <row r="6" spans="1:2" ht="26.25" customHeight="1" x14ac:dyDescent="0.35">
      <c r="A6" s="39" t="s">
        <v>41</v>
      </c>
    </row>
    <row r="7" spans="1:2" s="36" customFormat="1" ht="204.95" customHeight="1" x14ac:dyDescent="0.3">
      <c r="A7" s="73" t="s">
        <v>42</v>
      </c>
    </row>
    <row r="8" spans="1:2" s="40" customFormat="1" ht="27.75" x14ac:dyDescent="0.45">
      <c r="A8" s="39" t="s">
        <v>43</v>
      </c>
    </row>
    <row r="9" spans="1:2" ht="33" x14ac:dyDescent="0.35">
      <c r="A9" s="41" t="s">
        <v>44</v>
      </c>
    </row>
    <row r="10" spans="1:2" s="36" customFormat="1" ht="27.95" customHeight="1" x14ac:dyDescent="0.3">
      <c r="A10" s="74" t="s">
        <v>45</v>
      </c>
    </row>
    <row r="11" spans="1:2" s="40" customFormat="1" ht="27.75" x14ac:dyDescent="0.45">
      <c r="A11" s="39" t="s">
        <v>46</v>
      </c>
    </row>
    <row r="12" spans="1:2" x14ac:dyDescent="0.35">
      <c r="A12" s="41" t="s">
        <v>47</v>
      </c>
    </row>
    <row r="13" spans="1:2" s="36" customFormat="1" ht="27.95" customHeight="1" x14ac:dyDescent="0.3">
      <c r="A13" s="74" t="s">
        <v>48</v>
      </c>
    </row>
    <row r="14" spans="1:2" s="40" customFormat="1" ht="27.75" x14ac:dyDescent="0.45">
      <c r="A14" s="39" t="s">
        <v>49</v>
      </c>
    </row>
    <row r="15" spans="1:2" ht="75" customHeight="1" x14ac:dyDescent="0.35">
      <c r="A15" s="41" t="s">
        <v>50</v>
      </c>
    </row>
    <row r="16" spans="1:2" ht="49.5" x14ac:dyDescent="0.35">
      <c r="A16" s="41" t="s">
        <v>51</v>
      </c>
    </row>
  </sheetData>
  <phoneticPr fontId="23" type="noConversion"/>
  <hyperlinks>
    <hyperlink ref="A13" r:id="rId1" xr:uid="{00000000-0004-0000-0100-000000000000}"/>
    <hyperlink ref="A10" r:id="rId2" xr:uid="{00000000-0004-0000-0100-000001000000}"/>
    <hyperlink ref="A3" r:id="rId3" xr:uid="{00000000-0004-0000-0100-000002000000}"/>
    <hyperlink ref="A2" r:id="rId4" xr:uid="{00000000-0004-0000-0100-000003000000}"/>
  </hyperlinks>
  <printOptions horizontalCentered="1"/>
  <pageMargins left="0.35" right="0.35" top="0.35" bottom="0.5" header="0.3" footer="0.3"/>
  <pageSetup paperSize="9" fitToHeight="0" orientation="landscape" r:id="rId5"/>
  <headerFooter differentFirst="1" scaleWithDoc="0">
    <oddFooter>Page &amp;P of &amp;N</oddFooter>
  </headerFooter>
  <drawing r:id="rId6"/>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工作表</vt:lpstr>
      </vt:variant>
      <vt:variant>
        <vt:i4>2</vt:i4>
      </vt:variant>
      <vt:variant>
        <vt:lpstr>命名范围</vt:lpstr>
      </vt:variant>
      <vt:variant>
        <vt:i4>6</vt:i4>
      </vt:variant>
    </vt:vector>
  </HeadingPairs>
  <TitlesOfParts>
    <vt:vector size="8" baseType="lpstr">
      <vt:lpstr>项目日程安排</vt:lpstr>
      <vt:lpstr>关于</vt:lpstr>
      <vt:lpstr>Display_Week</vt:lpstr>
      <vt:lpstr>项目日程安排!Print_Titles</vt:lpstr>
      <vt:lpstr>Project_Start</vt:lpstr>
      <vt:lpstr>项目日程安排!task_end</vt:lpstr>
      <vt:lpstr>项目日程安排!task_progress</vt:lpstr>
      <vt:lpstr>项目日程安排!task_start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2019-03-19T17:17:03Z</dcterms:created>
  <dcterms:modified xsi:type="dcterms:W3CDTF">2019-03-29T01:25:51Z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Owner">
    <vt:lpwstr>v-abdarl@microsoft.com</vt:lpwstr>
  </property>
  <property fmtid="{D5CDD505-2E9C-101B-9397-08002B2CF9AE}" pid="5" name="MSIP_Label_f42aa342-8706-4288-bd11-ebb85995028c_SetDate">
    <vt:lpwstr>2019-03-19T17:17:07.6273720Z</vt:lpwstr>
  </property>
  <property fmtid="{D5CDD505-2E9C-101B-9397-08002B2CF9AE}" pid="6" name="MSIP_Label_f42aa342-8706-4288-bd11-ebb85995028c_Name">
    <vt:lpwstr>General</vt:lpwstr>
  </property>
  <property fmtid="{D5CDD505-2E9C-101B-9397-08002B2CF9AE}" pid="7" name="MSIP_Label_f42aa342-8706-4288-bd11-ebb85995028c_Application">
    <vt:lpwstr>Microsoft Azure Information Protection</vt:lpwstr>
  </property>
  <property fmtid="{D5CDD505-2E9C-101B-9397-08002B2CF9AE}" pid="8" name="MSIP_Label_f42aa342-8706-4288-bd11-ebb85995028c_ActionId">
    <vt:lpwstr>ae87efaf-4711-40ea-b5db-c90354dd2317</vt:lpwstr>
  </property>
  <property fmtid="{D5CDD505-2E9C-101B-9397-08002B2CF9AE}" pid="9" name="MSIP_Label_f42aa342-8706-4288-bd11-ebb85995028c_Extended_MSFT_Method">
    <vt:lpwstr>Automatic</vt:lpwstr>
  </property>
  <property fmtid="{D5CDD505-2E9C-101B-9397-08002B2CF9AE}" pid="10" name="Sensitivity">
    <vt:lpwstr>General</vt:lpwstr>
  </property>
</Properties>
</file>